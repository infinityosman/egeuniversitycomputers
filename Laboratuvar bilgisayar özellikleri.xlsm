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osiso\Desktop\"/>
    </mc:Choice>
  </mc:AlternateContent>
  <xr:revisionPtr revIDLastSave="0" documentId="13_ncr:1_{16C1C471-7E32-43C6-B2C3-ADDBEDCA4D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Yazdırma sayfası" sheetId="44" r:id="rId1"/>
    <sheet name="LAB1" sheetId="2" r:id="rId2"/>
    <sheet name="LAB2" sheetId="3" r:id="rId3"/>
    <sheet name="LAB6" sheetId="4" r:id="rId4"/>
    <sheet name="LAB3" sheetId="5" r:id="rId5"/>
  </sheets>
  <definedNames>
    <definedName name="_xlnm.Print_Area" localSheetId="2">'LAB2'!$R$6:$S$24,'LAB2'!$U$6:$V$10</definedName>
    <definedName name="_xlnm.Print_Area" localSheetId="4">'LAB3'!$R$6:$S$24,'LAB3'!$U$6:$V$48</definedName>
    <definedName name="_xlnm.Print_Area" localSheetId="3">'LAB6'!$R$6:$S$24,'LAB6'!$U$6:$V$90</definedName>
    <definedName name="_xlnm.Print_Area" localSheetId="0">'Yazdırma sayfası'!$H$1:$U$49,'Yazdırma sayfası'!$A$1:$G$137</definedName>
    <definedName name="_xlnm.Print_Titles" localSheetId="2">'LAB2'!$R:$T</definedName>
    <definedName name="_xlnm.Print_Titles" localSheetId="4">'LAB3'!$R:$T</definedName>
    <definedName name="_xlnm.Print_Titles" localSheetId="3">'LAB6'!$R:$T</definedName>
  </definedNames>
  <calcPr calcId="181029"/>
  <pivotCaches>
    <pivotCache cacheId="102" r:id="rId6"/>
    <pivotCache cacheId="105" r:id="rId7"/>
    <pivotCache cacheId="108" r:id="rId8"/>
    <pivotCache cacheId="11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7" i="44" l="1"/>
  <c r="C136" i="44"/>
  <c r="C135" i="44"/>
  <c r="C134" i="44"/>
  <c r="C133" i="44"/>
  <c r="C132" i="44"/>
  <c r="C131" i="44"/>
  <c r="C130" i="44"/>
  <c r="C129" i="44"/>
  <c r="C128" i="44"/>
  <c r="C127" i="44"/>
  <c r="C126" i="44"/>
  <c r="C125" i="44"/>
  <c r="C124" i="44"/>
  <c r="C123" i="44"/>
  <c r="C122" i="44"/>
  <c r="C121" i="44"/>
  <c r="C120" i="44"/>
  <c r="C119" i="44"/>
  <c r="C118" i="44"/>
  <c r="C117" i="44"/>
  <c r="C116" i="44"/>
  <c r="C115" i="44"/>
  <c r="C114" i="44"/>
  <c r="C113" i="44"/>
  <c r="C112" i="44"/>
  <c r="C111" i="44"/>
  <c r="C110" i="44"/>
  <c r="C109" i="44"/>
  <c r="C108" i="44"/>
  <c r="C107" i="44"/>
  <c r="C106" i="44"/>
  <c r="C105" i="44"/>
  <c r="C104" i="44"/>
  <c r="C103" i="44"/>
  <c r="C102" i="44"/>
  <c r="C101" i="44"/>
  <c r="C100" i="44"/>
  <c r="C99" i="44"/>
  <c r="C98" i="44"/>
  <c r="C97" i="44"/>
  <c r="C96" i="44"/>
  <c r="C95" i="44"/>
  <c r="C94" i="44"/>
  <c r="C93" i="44"/>
  <c r="C92" i="44"/>
  <c r="C91" i="44"/>
  <c r="C90" i="44"/>
  <c r="C89" i="44"/>
  <c r="C88" i="44"/>
  <c r="C87" i="44"/>
  <c r="C86" i="44"/>
  <c r="C85" i="44"/>
  <c r="C84" i="44"/>
  <c r="C83" i="44"/>
  <c r="C82" i="44"/>
  <c r="C81" i="44"/>
  <c r="C80" i="44"/>
  <c r="C79" i="44"/>
  <c r="C78" i="44"/>
  <c r="C77" i="44"/>
  <c r="C76" i="44"/>
  <c r="C75" i="44"/>
  <c r="C74" i="44"/>
  <c r="C73" i="44"/>
  <c r="C72" i="44"/>
  <c r="C71" i="44"/>
  <c r="C70" i="44"/>
  <c r="C69" i="44"/>
  <c r="C68" i="44"/>
  <c r="C67" i="44"/>
  <c r="C66" i="44"/>
  <c r="C65" i="44"/>
  <c r="C64" i="44"/>
  <c r="C63" i="44"/>
  <c r="C62" i="44"/>
  <c r="C61" i="44"/>
  <c r="C60" i="44"/>
  <c r="C59" i="44"/>
  <c r="C58" i="44"/>
  <c r="C57" i="44"/>
  <c r="C56" i="44"/>
  <c r="C55" i="44"/>
  <c r="C54" i="4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Q46" i="44"/>
  <c r="Q45" i="44"/>
  <c r="Q44" i="44"/>
  <c r="Q43" i="44"/>
  <c r="Q42" i="44"/>
  <c r="Q41" i="44"/>
  <c r="Q40" i="44"/>
  <c r="Q39" i="44"/>
  <c r="Q38" i="44"/>
  <c r="Q37" i="44"/>
  <c r="Q36" i="44"/>
  <c r="Q35" i="44"/>
  <c r="Q34" i="44"/>
  <c r="Q33" i="44"/>
  <c r="Q32" i="44"/>
  <c r="Q31" i="44"/>
  <c r="Q30" i="44"/>
  <c r="Q29" i="44"/>
  <c r="Q28" i="44"/>
  <c r="Q27" i="44"/>
  <c r="Q26" i="44"/>
  <c r="Q25" i="44"/>
  <c r="Q24" i="44"/>
  <c r="Q23" i="44"/>
  <c r="Q22" i="44"/>
  <c r="Q21" i="44"/>
  <c r="Q20" i="44"/>
  <c r="Q19" i="44"/>
  <c r="Q18" i="44"/>
  <c r="Q17" i="44"/>
  <c r="Q16" i="44"/>
  <c r="Q15" i="44"/>
  <c r="Q14" i="44"/>
  <c r="Q13" i="44"/>
  <c r="Q12" i="44"/>
  <c r="Q11" i="44"/>
  <c r="Q10" i="44"/>
  <c r="Q9" i="44"/>
  <c r="Q8" i="44"/>
  <c r="Q7" i="44"/>
  <c r="Q6" i="44"/>
  <c r="Q5" i="44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C22" i="44"/>
  <c r="C21" i="44"/>
  <c r="C20" i="44"/>
  <c r="C19" i="44"/>
  <c r="C18" i="44"/>
  <c r="C17" i="44"/>
  <c r="C16" i="44"/>
  <c r="C15" i="44"/>
  <c r="C14" i="44"/>
  <c r="C13" i="44"/>
  <c r="C12" i="44"/>
  <c r="C11" i="44"/>
  <c r="C10" i="44"/>
  <c r="C9" i="44"/>
  <c r="C8" i="44"/>
  <c r="C7" i="44"/>
  <c r="C6" i="44"/>
  <c r="C5" i="44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</calcChain>
</file>

<file path=xl/sharedStrings.xml><?xml version="1.0" encoding="utf-8"?>
<sst xmlns="http://schemas.openxmlformats.org/spreadsheetml/2006/main" count="592" uniqueCount="25">
  <si>
    <t>İ5 7200U 8GB 64 Bit</t>
  </si>
  <si>
    <t>İ5 7400 8GB 64 Bit</t>
  </si>
  <si>
    <t>İ5 6400 8GB 64 Bit</t>
  </si>
  <si>
    <t>İ7 2600 6GB 64 Bit</t>
  </si>
  <si>
    <t>İ7 2600 8GB 64 Bit</t>
  </si>
  <si>
    <t>Mavi Ekran</t>
  </si>
  <si>
    <t>AÇILMADI</t>
  </si>
  <si>
    <t>İ7 2600 4GB 64 Bit</t>
  </si>
  <si>
    <t>İ3 4160 4GB 32 Bit</t>
  </si>
  <si>
    <t>İ3 4160 2GB 32 Bit</t>
  </si>
  <si>
    <t>CAM KENARI</t>
  </si>
  <si>
    <t>ORTA SIRA</t>
  </si>
  <si>
    <t>DUVAR KENARI</t>
  </si>
  <si>
    <t>Özellikler</t>
  </si>
  <si>
    <t>Adet</t>
  </si>
  <si>
    <t>Genel Toplam</t>
  </si>
  <si>
    <t>Adet Sayısı</t>
  </si>
  <si>
    <r>
      <rPr>
        <b/>
        <sz val="11"/>
        <color theme="1"/>
        <rFont val="Calibri"/>
        <family val="2"/>
        <charset val="162"/>
        <scheme val="minor"/>
      </rPr>
      <t xml:space="preserve">LABORATUVARLARDAKİ BİLGİSAYARLARIN GİRİŞLERİ
</t>
    </r>
    <r>
      <rPr>
        <b/>
        <sz val="11"/>
        <color rgb="FFFF0000"/>
        <rFont val="Calibri"/>
        <family val="2"/>
        <charset val="162"/>
        <scheme val="minor"/>
      </rPr>
      <t>İ7 2600 8GB 64 Bit</t>
    </r>
    <r>
      <rPr>
        <b/>
        <sz val="11"/>
        <color theme="1"/>
        <rFont val="Calibri"/>
        <family val="2"/>
        <charset val="162"/>
        <scheme val="minor"/>
      </rPr>
      <t xml:space="preserve">
ŞEKLİNDE OLACAKTIR. </t>
    </r>
    <r>
      <rPr>
        <sz val="11"/>
        <color theme="1"/>
        <rFont val="Calibri"/>
        <family val="2"/>
        <charset val="162"/>
        <scheme val="minor"/>
      </rPr>
      <t xml:space="preserve">
</t>
    </r>
  </si>
  <si>
    <r>
      <t xml:space="preserve">LABORATUVARLARDAKİ BİLGİSAYARLARIN GİRİŞLERİ
</t>
    </r>
    <r>
      <rPr>
        <b/>
        <sz val="11"/>
        <color rgb="FFFF0000"/>
        <rFont val="Calibri"/>
        <family val="2"/>
        <charset val="162"/>
        <scheme val="minor"/>
      </rPr>
      <t>İ5 7200U 8GB 64 Bit</t>
    </r>
    <r>
      <rPr>
        <b/>
        <sz val="11"/>
        <color theme="1"/>
        <rFont val="Calibri"/>
        <family val="2"/>
        <charset val="162"/>
        <scheme val="minor"/>
      </rPr>
      <t xml:space="preserve">
ŞEKLİNDE OLACAKTIR. </t>
    </r>
  </si>
  <si>
    <r>
      <t xml:space="preserve">LABORATUVARLARDAKİ BİLGİSAYARLARIN GİRİŞLERİ
</t>
    </r>
    <r>
      <rPr>
        <b/>
        <sz val="11"/>
        <color rgb="FFFF0000"/>
        <rFont val="Calibri"/>
        <family val="2"/>
        <charset val="162"/>
        <scheme val="minor"/>
      </rPr>
      <t>İ3 4160 4GB 32 Bit</t>
    </r>
    <r>
      <rPr>
        <b/>
        <sz val="11"/>
        <color theme="1"/>
        <rFont val="Calibri"/>
        <family val="2"/>
        <charset val="162"/>
        <scheme val="minor"/>
      </rPr>
      <t xml:space="preserve">
ŞEKLİNDE OLACAKTIR. </t>
    </r>
  </si>
  <si>
    <r>
      <t xml:space="preserve">LABORATUVARLARDAKİ BİLGİSAYARLARIN GİRİŞLERİ
</t>
    </r>
    <r>
      <rPr>
        <b/>
        <sz val="11"/>
        <color rgb="FFFF0000"/>
        <rFont val="Calibri"/>
        <family val="2"/>
        <charset val="162"/>
        <scheme val="minor"/>
      </rPr>
      <t>İ5 7400 8GB 64 Bit</t>
    </r>
    <r>
      <rPr>
        <b/>
        <sz val="11"/>
        <color theme="1"/>
        <rFont val="Calibri"/>
        <family val="2"/>
        <charset val="162"/>
        <scheme val="minor"/>
      </rPr>
      <t xml:space="preserve">
ŞEKLİNDE OLACAKTIR. </t>
    </r>
  </si>
  <si>
    <t>LABORATUVAR 1'İN ÇIKTILARI</t>
  </si>
  <si>
    <t>LABORATUVAR 2'NİN ÇIKTILARI</t>
  </si>
  <si>
    <t>LABORATUVAR 3'ÜN ÇIKTILARI</t>
  </si>
  <si>
    <t>LABORATUVAR 6'NIN ÇIKTILARI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</si>
</sst>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600075</xdr:colOff>
      <xdr:row>6</xdr:row>
      <xdr:rowOff>161925</xdr:rowOff>
    </xdr:from>
    <xdr:to>
      <xdr:col>16</xdr:col>
      <xdr:colOff>76200</xdr:colOff>
      <xdr:row>13</xdr:row>
      <xdr:rowOff>180975</xdr:rowOff>
    </xdr:to>
    <xdr:sp macro="[0]!Lab1bilgileriçağır" textlink="">
      <xdr:nvSpPr>
        <xdr:cNvPr id="2" name="Dikdörtgen 1">
          <a:extLst>
            <a:ext uri="{FF2B5EF4-FFF2-40B4-BE49-F238E27FC236}">
              <a16:creationId xmlns:a16="http://schemas.microsoft.com/office/drawing/2014/main" id="{EF243030-045E-FCBC-3973-566F331A23FB}"/>
            </a:ext>
          </a:extLst>
        </xdr:cNvPr>
        <xdr:cNvSpPr/>
      </xdr:nvSpPr>
      <xdr:spPr>
        <a:xfrm>
          <a:off x="7915275" y="1304925"/>
          <a:ext cx="1914525" cy="1352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LAB 1 BİLGİSAYARLARINI</a:t>
          </a:r>
          <a:r>
            <a:rPr lang="tr-TR" sz="1800" baseline="0"/>
            <a:t> LİSTELE</a:t>
          </a:r>
          <a:endParaRPr lang="tr-TR" sz="1800"/>
        </a:p>
      </xdr:txBody>
    </xdr:sp>
    <xdr:clientData/>
  </xdr:twoCellAnchor>
  <xdr:twoCellAnchor>
    <xdr:from>
      <xdr:col>13</xdr:col>
      <xdr:colOff>0</xdr:colOff>
      <xdr:row>14</xdr:row>
      <xdr:rowOff>180975</xdr:rowOff>
    </xdr:from>
    <xdr:to>
      <xdr:col>16</xdr:col>
      <xdr:colOff>114300</xdr:colOff>
      <xdr:row>19</xdr:row>
      <xdr:rowOff>180975</xdr:rowOff>
    </xdr:to>
    <xdr:sp macro="[0]!Lab1yazdir" textlink="">
      <xdr:nvSpPr>
        <xdr:cNvPr id="3" name="Dikdörtgen 2">
          <a:extLst>
            <a:ext uri="{FF2B5EF4-FFF2-40B4-BE49-F238E27FC236}">
              <a16:creationId xmlns:a16="http://schemas.microsoft.com/office/drawing/2014/main" id="{38D0DF1E-865F-B286-FB83-EA0004B0F4F3}"/>
            </a:ext>
          </a:extLst>
        </xdr:cNvPr>
        <xdr:cNvSpPr/>
      </xdr:nvSpPr>
      <xdr:spPr>
        <a:xfrm>
          <a:off x="7924800" y="2847975"/>
          <a:ext cx="1943100" cy="952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LAB</a:t>
          </a:r>
          <a:r>
            <a:rPr lang="tr-TR" sz="1800" baseline="0"/>
            <a:t> 1 </a:t>
          </a:r>
          <a:r>
            <a:rPr lang="tr-TR" sz="1800"/>
            <a:t>BİLGİSAYAR</a:t>
          </a:r>
          <a:r>
            <a:rPr lang="tr-TR" sz="1800" baseline="0"/>
            <a:t> ÖZELLİKLERİNİ YAZDIR</a:t>
          </a:r>
          <a:endParaRPr lang="tr-TR" sz="1800"/>
        </a:p>
      </xdr:txBody>
    </xdr:sp>
    <xdr:clientData/>
  </xdr:twoCellAnchor>
  <xdr:twoCellAnchor>
    <xdr:from>
      <xdr:col>12</xdr:col>
      <xdr:colOff>457200</xdr:colOff>
      <xdr:row>21</xdr:row>
      <xdr:rowOff>0</xdr:rowOff>
    </xdr:from>
    <xdr:to>
      <xdr:col>16</xdr:col>
      <xdr:colOff>247650</xdr:colOff>
      <xdr:row>29</xdr:row>
      <xdr:rowOff>19050</xdr:rowOff>
    </xdr:to>
    <xdr:sp macro="[0]!Tümlabyazdir" textlink="">
      <xdr:nvSpPr>
        <xdr:cNvPr id="4" name="Dikdörtgen 3">
          <a:extLst>
            <a:ext uri="{FF2B5EF4-FFF2-40B4-BE49-F238E27FC236}">
              <a16:creationId xmlns:a16="http://schemas.microsoft.com/office/drawing/2014/main" id="{378EBF0F-37E2-4AE7-9AC3-7D0D86CF4037}"/>
            </a:ext>
          </a:extLst>
        </xdr:cNvPr>
        <xdr:cNvSpPr/>
      </xdr:nvSpPr>
      <xdr:spPr>
        <a:xfrm>
          <a:off x="7772400" y="4000500"/>
          <a:ext cx="2228850" cy="1543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800"/>
            <a:t>TÜM</a:t>
          </a:r>
          <a:r>
            <a:rPr lang="tr-TR" sz="1800" baseline="0"/>
            <a:t> LABORATUVARLARIN </a:t>
          </a:r>
          <a:r>
            <a:rPr lang="tr-TR" sz="1800"/>
            <a:t>BİLGİSAYAR</a:t>
          </a:r>
          <a:r>
            <a:rPr lang="tr-TR" sz="1800" baseline="0"/>
            <a:t> ÖZELLİKLERİNİ YAZDIR</a:t>
          </a:r>
          <a:endParaRPr lang="tr-TR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563707</xdr:colOff>
      <xdr:row>0</xdr:row>
      <xdr:rowOff>70136</xdr:rowOff>
    </xdr:from>
    <xdr:to>
      <xdr:col>8</xdr:col>
      <xdr:colOff>43295</xdr:colOff>
      <xdr:row>4</xdr:row>
      <xdr:rowOff>112566</xdr:rowOff>
    </xdr:to>
    <xdr:sp macro="[0]!Lab2bilgileriçağır" textlink="">
      <xdr:nvSpPr>
        <xdr:cNvPr id="3" name="Dikdörtgen 2">
          <a:extLst>
            <a:ext uri="{FF2B5EF4-FFF2-40B4-BE49-F238E27FC236}">
              <a16:creationId xmlns:a16="http://schemas.microsoft.com/office/drawing/2014/main" id="{C829CD91-E4F0-489F-9243-E7126C949ACF}"/>
            </a:ext>
          </a:extLst>
        </xdr:cNvPr>
        <xdr:cNvSpPr/>
      </xdr:nvSpPr>
      <xdr:spPr>
        <a:xfrm>
          <a:off x="2988252" y="70136"/>
          <a:ext cx="1904134" cy="8044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 2 BİLGİSAYARLARINI</a:t>
          </a:r>
          <a:r>
            <a:rPr lang="tr-TR" sz="1400" baseline="0"/>
            <a:t> LİSTELE</a:t>
          </a:r>
        </a:p>
      </xdr:txBody>
    </xdr:sp>
    <xdr:clientData/>
  </xdr:twoCellAnchor>
  <xdr:twoCellAnchor>
    <xdr:from>
      <xdr:col>10</xdr:col>
      <xdr:colOff>8660</xdr:colOff>
      <xdr:row>0</xdr:row>
      <xdr:rowOff>51955</xdr:rowOff>
    </xdr:from>
    <xdr:to>
      <xdr:col>13</xdr:col>
      <xdr:colOff>25977</xdr:colOff>
      <xdr:row>4</xdr:row>
      <xdr:rowOff>95250</xdr:rowOff>
    </xdr:to>
    <xdr:sp macro="[0]!Lab2yazdir" textlink="">
      <xdr:nvSpPr>
        <xdr:cNvPr id="4" name="Dikdörtgen 3">
          <a:extLst>
            <a:ext uri="{FF2B5EF4-FFF2-40B4-BE49-F238E27FC236}">
              <a16:creationId xmlns:a16="http://schemas.microsoft.com/office/drawing/2014/main" id="{42FCFFDB-93D7-4F4F-8A2C-CD4DDCD5B6CF}"/>
            </a:ext>
          </a:extLst>
        </xdr:cNvPr>
        <xdr:cNvSpPr/>
      </xdr:nvSpPr>
      <xdr:spPr>
        <a:xfrm>
          <a:off x="6070024" y="51955"/>
          <a:ext cx="1835726" cy="8052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</a:t>
          </a:r>
          <a:r>
            <a:rPr lang="tr-TR" sz="1400" baseline="0"/>
            <a:t> 2 </a:t>
          </a:r>
          <a:r>
            <a:rPr lang="tr-TR" sz="1400"/>
            <a:t>BİLGİSAYAR</a:t>
          </a:r>
          <a:r>
            <a:rPr lang="tr-TR" sz="1400" baseline="0"/>
            <a:t> ÖZELLİKLERİNİ YAZDIR</a:t>
          </a:r>
          <a:endParaRPr lang="tr-TR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152400</xdr:colOff>
      <xdr:row>0</xdr:row>
      <xdr:rowOff>0</xdr:rowOff>
    </xdr:from>
    <xdr:to>
      <xdr:col>8</xdr:col>
      <xdr:colOff>227734</xdr:colOff>
      <xdr:row>4</xdr:row>
      <xdr:rowOff>42430</xdr:rowOff>
    </xdr:to>
    <xdr:sp macro="[0]!Lab6bilgileriçağır" textlink="">
      <xdr:nvSpPr>
        <xdr:cNvPr id="2" name="Dikdörtgen 1">
          <a:extLst>
            <a:ext uri="{FF2B5EF4-FFF2-40B4-BE49-F238E27FC236}">
              <a16:creationId xmlns:a16="http://schemas.microsoft.com/office/drawing/2014/main" id="{C0632A7D-30A0-4D27-8026-D71DE48179CC}"/>
            </a:ext>
          </a:extLst>
        </xdr:cNvPr>
        <xdr:cNvSpPr/>
      </xdr:nvSpPr>
      <xdr:spPr>
        <a:xfrm>
          <a:off x="3200400" y="0"/>
          <a:ext cx="1904134" cy="8044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 6 BİLGİSAYARLARINI</a:t>
          </a:r>
          <a:r>
            <a:rPr lang="tr-TR" sz="1400" baseline="0"/>
            <a:t> LİSTELE</a:t>
          </a:r>
        </a:p>
      </xdr:txBody>
    </xdr:sp>
    <xdr:clientData/>
  </xdr:twoCellAnchor>
  <xdr:twoCellAnchor>
    <xdr:from>
      <xdr:col>10</xdr:col>
      <xdr:colOff>561975</xdr:colOff>
      <xdr:row>0</xdr:row>
      <xdr:rowOff>0</xdr:rowOff>
    </xdr:from>
    <xdr:to>
      <xdr:col>13</xdr:col>
      <xdr:colOff>568901</xdr:colOff>
      <xdr:row>4</xdr:row>
      <xdr:rowOff>43295</xdr:rowOff>
    </xdr:to>
    <xdr:sp macro="[0]!Lab6yazdir" textlink="">
      <xdr:nvSpPr>
        <xdr:cNvPr id="3" name="Dikdörtgen 2">
          <a:extLst>
            <a:ext uri="{FF2B5EF4-FFF2-40B4-BE49-F238E27FC236}">
              <a16:creationId xmlns:a16="http://schemas.microsoft.com/office/drawing/2014/main" id="{E3A27459-8929-429A-9F01-0F2279A32408}"/>
            </a:ext>
          </a:extLst>
        </xdr:cNvPr>
        <xdr:cNvSpPr/>
      </xdr:nvSpPr>
      <xdr:spPr>
        <a:xfrm>
          <a:off x="6657975" y="0"/>
          <a:ext cx="1835726" cy="8052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</a:t>
          </a:r>
          <a:r>
            <a:rPr lang="tr-TR" sz="1400" baseline="0"/>
            <a:t> 6 </a:t>
          </a:r>
          <a:r>
            <a:rPr lang="tr-TR" sz="1400"/>
            <a:t>BİLGİSAYAR</a:t>
          </a:r>
          <a:r>
            <a:rPr lang="tr-TR" sz="1400" baseline="0"/>
            <a:t> ÖZELLİKLERİNİ YAZDIR</a:t>
          </a:r>
          <a:endParaRPr lang="tr-TR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85725</xdr:rowOff>
    </xdr:from>
    <xdr:to>
      <xdr:col>7</xdr:col>
      <xdr:colOff>418234</xdr:colOff>
      <xdr:row>4</xdr:row>
      <xdr:rowOff>128155</xdr:rowOff>
    </xdr:to>
    <xdr:sp macro="[0]!Lab3bilgileriçağır" textlink="">
      <xdr:nvSpPr>
        <xdr:cNvPr id="2" name="Dikdörtgen 1">
          <a:extLst>
            <a:ext uri="{FF2B5EF4-FFF2-40B4-BE49-F238E27FC236}">
              <a16:creationId xmlns:a16="http://schemas.microsoft.com/office/drawing/2014/main" id="{13B64A94-1787-4285-8246-A9D03BC45731}"/>
            </a:ext>
          </a:extLst>
        </xdr:cNvPr>
        <xdr:cNvSpPr/>
      </xdr:nvSpPr>
      <xdr:spPr>
        <a:xfrm>
          <a:off x="2781300" y="85725"/>
          <a:ext cx="1904134" cy="8044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 3 BİLGİSAYARLARINI</a:t>
          </a:r>
          <a:r>
            <a:rPr lang="tr-TR" sz="1400" baseline="0"/>
            <a:t> LİSTELE</a:t>
          </a:r>
        </a:p>
      </xdr:txBody>
    </xdr:sp>
    <xdr:clientData/>
  </xdr:twoCellAnchor>
  <xdr:twoCellAnchor>
    <xdr:from>
      <xdr:col>10</xdr:col>
      <xdr:colOff>19050</xdr:colOff>
      <xdr:row>0</xdr:row>
      <xdr:rowOff>66675</xdr:rowOff>
    </xdr:from>
    <xdr:to>
      <xdr:col>13</xdr:col>
      <xdr:colOff>28575</xdr:colOff>
      <xdr:row>4</xdr:row>
      <xdr:rowOff>109970</xdr:rowOff>
    </xdr:to>
    <xdr:sp macro="[0]!Lab3yazdir" textlink="">
      <xdr:nvSpPr>
        <xdr:cNvPr id="4" name="Dikdörtgen 3">
          <a:extLst>
            <a:ext uri="{FF2B5EF4-FFF2-40B4-BE49-F238E27FC236}">
              <a16:creationId xmlns:a16="http://schemas.microsoft.com/office/drawing/2014/main" id="{B370DF91-8C38-49B2-9031-2EF9E606CED7}"/>
            </a:ext>
          </a:extLst>
        </xdr:cNvPr>
        <xdr:cNvSpPr/>
      </xdr:nvSpPr>
      <xdr:spPr>
        <a:xfrm>
          <a:off x="6115050" y="66675"/>
          <a:ext cx="1838325" cy="8052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/>
            <a:t>LAB</a:t>
          </a:r>
          <a:r>
            <a:rPr lang="tr-TR" sz="1400" baseline="0"/>
            <a:t> 3 </a:t>
          </a:r>
          <a:r>
            <a:rPr lang="tr-TR" sz="1400"/>
            <a:t>BİLGİSAYAR</a:t>
          </a:r>
          <a:r>
            <a:rPr lang="tr-TR" sz="1400" baseline="0"/>
            <a:t> ÖZELLİKLERİNİ YAZDIR</a:t>
          </a:r>
          <a:endParaRPr lang="tr-TR" sz="14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man Sonsuz" refreshedDate="44774.389155787037" createdVersion="8" refreshedVersion="8" minRefreshableVersion="3" recordCount="84" xr:uid="{5779A5C5-10C5-4762-A2EC-F0A06A57A5A9}">
  <cacheSource type="worksheet">
    <worksheetSource name="Tablo4"/>
  </cacheSource>
  <cacheFields count="2">
    <cacheField name="Özellikler" numFmtId="0">
      <sharedItems containsBlank="1" count="5">
        <s v="İ3 4160 4GB 32 Bit"/>
        <s v="İ7 2600 4GB 64 Bit"/>
        <s v="İ3 4160 2GB 32 Bit"/>
        <s v="AÇILMADI"/>
        <m u="1"/>
      </sharedItems>
    </cacheField>
    <cacheField name="Adet" numFmtId="0">
      <sharedItems containsSemiMixedTypes="0" containsString="0" containsNumber="1" containsInteger="1" minValue="1" maxValue="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man Sonsuz" refreshedDate="44774.389156597223" createdVersion="8" refreshedVersion="8" minRefreshableVersion="3" recordCount="27" xr:uid="{C64D3302-B431-4944-A3CD-884F8F708C9A}">
  <cacheSource type="worksheet">
    <worksheetSource name="Tablo3"/>
  </cacheSource>
  <cacheFields count="2">
    <cacheField name="Özellikler" numFmtId="0">
      <sharedItems containsBlank="1" count="9">
        <s v="İ7 2600 8GB 64 Bit"/>
        <s v="İ7 2600 6GB 64 Bit"/>
        <s v="İ7 2600 4GB 64 Bit"/>
        <s v="AÇILMADI"/>
        <s v="Mavi Ekran"/>
        <m u="1"/>
        <s v="deneme" u="1"/>
        <s v="i7 2600 6GB 64 Bit" u="1"/>
        <s v="i7 2600 8GB 64 Bit" u="1"/>
      </sharedItems>
    </cacheField>
    <cacheField name="Adet" numFmtId="0">
      <sharedItems containsSemiMixedTypes="0" containsString="0" containsNumber="1" containsInteger="1" minValue="1" maxValue="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man Sonsuz" refreshedDate="44774.389156944446" createdVersion="8" refreshedVersion="8" minRefreshableVersion="3" recordCount="18" xr:uid="{C4C075A4-5809-41E8-90B8-E09522789647}">
  <cacheSource type="worksheet">
    <worksheetSource name="Tablo1"/>
  </cacheSource>
  <cacheFields count="2">
    <cacheField name="Özellikler" numFmtId="0">
      <sharedItems containsBlank="1" count="8">
        <s v="İ5 7200U 8GB 64 Bit"/>
        <s v="İ5 7400 8GB 64 Bit"/>
        <s v="İ5 6400 8GB 64 Bit"/>
        <m u="1"/>
        <s v="deneme3" u="1"/>
        <s v="deneme" u="1"/>
        <s v="i5 7400 8GB 64 Bit" u="1"/>
        <s v="deneme2" u="1"/>
      </sharedItems>
    </cacheField>
    <cacheField name="Adet" numFmtId="0">
      <sharedItems containsSemiMixedTypes="0" containsString="0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man Sonsuz" refreshedDate="44774.389157060185" createdVersion="8" refreshedVersion="8" minRefreshableVersion="3" recordCount="42" xr:uid="{09561D4D-2917-40C8-A77F-9421A53C2400}">
  <cacheSource type="worksheet">
    <worksheetSource name="Tablo5"/>
  </cacheSource>
  <cacheFields count="2">
    <cacheField name="Özellikler" numFmtId="0">
      <sharedItems containsBlank="1" count="3">
        <s v="İ5 7400 8GB 64 Bit"/>
        <s v="AÇILMADI"/>
        <m u="1"/>
      </sharedItems>
    </cacheField>
    <cacheField name="Adet" numFmtId="0">
      <sharedItems containsSemiMixedTypes="0" containsString="0" containsNumber="1" containsInteger="1" minValue="2" maxValue="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1"/>
    <n v="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2"/>
    <n v="1"/>
  </r>
  <r>
    <x v="0"/>
    <n v="81"/>
  </r>
  <r>
    <x v="3"/>
    <n v="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  <r>
    <x v="0"/>
    <n v="8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5"/>
  </r>
  <r>
    <x v="1"/>
    <n v="18"/>
  </r>
  <r>
    <x v="1"/>
    <n v="18"/>
  </r>
  <r>
    <x v="2"/>
    <n v="1"/>
  </r>
  <r>
    <x v="1"/>
    <n v="18"/>
  </r>
  <r>
    <x v="0"/>
    <n v="5"/>
  </r>
  <r>
    <x v="1"/>
    <n v="18"/>
  </r>
  <r>
    <x v="3"/>
    <n v="2"/>
  </r>
  <r>
    <x v="0"/>
    <n v="5"/>
  </r>
  <r>
    <x v="0"/>
    <n v="5"/>
  </r>
  <r>
    <x v="4"/>
    <n v="1"/>
  </r>
  <r>
    <x v="3"/>
    <n v="2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1"/>
    <n v="18"/>
  </r>
  <r>
    <x v="0"/>
    <n v="5"/>
  </r>
  <r>
    <x v="1"/>
    <n v="1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n v="8"/>
  </r>
  <r>
    <x v="0"/>
    <n v="8"/>
  </r>
  <r>
    <x v="0"/>
    <n v="8"/>
  </r>
  <r>
    <x v="0"/>
    <n v="8"/>
  </r>
  <r>
    <x v="0"/>
    <n v="8"/>
  </r>
  <r>
    <x v="0"/>
    <n v="8"/>
  </r>
  <r>
    <x v="0"/>
    <n v="8"/>
  </r>
  <r>
    <x v="0"/>
    <n v="8"/>
  </r>
  <r>
    <x v="1"/>
    <n v="9"/>
  </r>
  <r>
    <x v="1"/>
    <n v="9"/>
  </r>
  <r>
    <x v="1"/>
    <n v="9"/>
  </r>
  <r>
    <x v="1"/>
    <n v="9"/>
  </r>
  <r>
    <x v="1"/>
    <n v="9"/>
  </r>
  <r>
    <x v="1"/>
    <n v="9"/>
  </r>
  <r>
    <x v="2"/>
    <n v="1"/>
  </r>
  <r>
    <x v="1"/>
    <n v="9"/>
  </r>
  <r>
    <x v="1"/>
    <n v="9"/>
  </r>
  <r>
    <x v="1"/>
    <n v="9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1"/>
    <n v="2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0"/>
    <n v="40"/>
  </r>
  <r>
    <x v="1"/>
    <n v="2"/>
  </r>
  <r>
    <x v="0"/>
    <n v="40"/>
  </r>
  <r>
    <x v="0"/>
    <n v="40"/>
  </r>
  <r>
    <x v="0"/>
    <n v="4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F7A63B-141B-4360-8AF7-D78BD98351B7}" name="PivotTable9" cacheId="102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E53:F58" firstHeaderRow="1" firstDataRow="1" firstDataCol="1"/>
  <pivotFields count="2">
    <pivotField axis="axisRow" showAll="0">
      <items count="6">
        <item m="1" x="4"/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536DEC-8CBE-4539-BB31-B6F5FDA4442A}" name="PivotTable8" cacheId="11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S4:T7" firstHeaderRow="1" firstDataRow="1" firstDataCol="1"/>
  <pivotFields count="2">
    <pivotField axis="axisRow" showAll="0">
      <items count="4">
        <item m="1" x="2"/>
        <item x="0"/>
        <item x="1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2674F4-8DD5-4E4E-A992-6948E1FB0036}" name="PivotTable7" cacheId="105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L4:M10" firstHeaderRow="1" firstDataRow="1" firstDataCol="1"/>
  <pivotFields count="2">
    <pivotField axis="axisRow" showAll="0">
      <items count="10">
        <item m="1" x="5"/>
        <item x="0"/>
        <item x="1"/>
        <item x="2"/>
        <item x="3"/>
        <item x="4"/>
        <item m="1" x="7"/>
        <item m="1" x="8"/>
        <item m="1" x="6"/>
        <item t="default"/>
      </items>
    </pivotField>
    <pivotField dataField="1" showAll="0"/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2A33D-067F-4F32-8702-DC7D973058E3}" name="PivotTable6" cacheId="10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E4:F8" firstHeaderRow="1" firstDataRow="1" firstDataCol="1"/>
  <pivotFields count="2">
    <pivotField axis="axisRow" showAll="0">
      <items count="9">
        <item x="2"/>
        <item x="0"/>
        <item x="1"/>
        <item m="1" x="6"/>
        <item m="1" x="3"/>
        <item m="1" x="5"/>
        <item m="1" x="7"/>
        <item m="1" x="4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74E4D-7D4D-4C92-9112-6EE034091088}" name="PivotTable2" cacheId="108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U6:V10" firstHeaderRow="1" firstDataRow="1" firstDataCol="1"/>
  <pivotFields count="2">
    <pivotField axis="axisRow" showAll="0">
      <items count="9">
        <item x="2"/>
        <item x="0"/>
        <item x="1"/>
        <item m="1" x="6"/>
        <item m="1" x="3"/>
        <item m="1" x="5"/>
        <item m="1" x="7"/>
        <item m="1" x="4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A9DC5-8CCD-4B3E-A4ED-9525DEAC04AF}" name="PivotTable3" cacheId="105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W6:X12" firstHeaderRow="1" firstDataRow="1" firstDataCol="1"/>
  <pivotFields count="2">
    <pivotField axis="axisRow" showAll="0">
      <items count="10">
        <item m="1" x="5"/>
        <item x="0"/>
        <item x="1"/>
        <item x="2"/>
        <item x="3"/>
        <item x="4"/>
        <item m="1" x="7"/>
        <item m="1" x="8"/>
        <item m="1" x="6"/>
        <item t="default"/>
      </items>
    </pivotField>
    <pivotField dataField="1" showAll="0"/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BB1FCC-ACF4-49B3-8618-BA8D68E7F4C0}" name="PivotTable4" cacheId="102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X6:Y11" firstHeaderRow="1" firstDataRow="1" firstDataCol="1"/>
  <pivotFields count="2">
    <pivotField axis="axisRow" showAll="0">
      <items count="6">
        <item m="1" x="4"/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CC56B-BA0A-4C22-B10C-AE05FBD6308F}" name="PivotTable5" cacheId="11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 rowHeaderCaption="Özellikler">
  <location ref="X6:Y9" firstHeaderRow="1" firstDataRow="1" firstDataCol="1"/>
  <pivotFields count="2">
    <pivotField axis="axisRow" showAll="0">
      <items count="4">
        <item m="1" x="2"/>
        <item x="0"/>
        <item x="1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Adet Sayısı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AFA4D46-C999-4641-8DEF-65D682AECC2E}" name="Tablo111" displayName="Tablo111" ref="B4:C22" totalsRowShown="0">
  <autoFilter ref="B4:C22" xr:uid="{DAFA4D46-C999-4641-8DEF-65D682AECC2E}"/>
  <sortState xmlns:xlrd2="http://schemas.microsoft.com/office/spreadsheetml/2017/richdata2" ref="B5:C5">
    <sortCondition ref="B6:B7"/>
  </sortState>
  <tableColumns count="2">
    <tableColumn id="1" xr3:uid="{8E43B25B-4AE5-42EC-AA1F-67A10F2E7D4D}" name="Özellikler"/>
    <tableColumn id="2" xr3:uid="{D6E4FB18-D6C1-472C-87A2-E404A61D5098}" name="Adet">
      <calculatedColumnFormula>COUNTIF(Tablo111[Özellikler],Tablo111[[#This Row],[Özellikler]])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C7500AF-FF9C-4210-9B2B-F7CB1A7ECE75}" name="Tablo312" displayName="Tablo312" ref="I4:J31" totalsRowShown="0">
  <autoFilter ref="I4:J31" xr:uid="{9C7500AF-FF9C-4210-9B2B-F7CB1A7ECE75}"/>
  <sortState xmlns:xlrd2="http://schemas.microsoft.com/office/spreadsheetml/2017/richdata2" ref="I5:J5">
    <sortCondition ref="I6:I7"/>
  </sortState>
  <tableColumns count="2">
    <tableColumn id="1" xr3:uid="{B52BB2E2-F805-468D-BAD0-71E0CC2263C5}" name="Özellikler"/>
    <tableColumn id="2" xr3:uid="{B1C7FBC8-7125-41B6-BCC6-7E9E5EDF974E}" name="Adet">
      <calculatedColumnFormula>COUNTIF(Tablo312[Özellikler],Tablo312[[#This Row],[Özellikler]])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C7FF9EF-1243-45D2-833A-56D33EC3CEC7}" name="Tablo513" displayName="Tablo513" ref="P4:Q46" totalsRowShown="0">
  <autoFilter ref="P4:Q46" xr:uid="{1C7FF9EF-1243-45D2-833A-56D33EC3CEC7}"/>
  <sortState xmlns:xlrd2="http://schemas.microsoft.com/office/spreadsheetml/2017/richdata2" ref="P5:Q5">
    <sortCondition ref="P6:P7"/>
  </sortState>
  <tableColumns count="2">
    <tableColumn id="1" xr3:uid="{23CFDFAD-9F81-461A-AA7A-148F6B0CB2EE}" name="Özellikler"/>
    <tableColumn id="2" xr3:uid="{366FC43C-B139-4CF4-9C65-4FAB935FEF24}" name="Adet">
      <calculatedColumnFormula>COUNTIF(Tablo513[Özellikler],Tablo513[[#This Row],[Özellikler]])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747CE49-AC9E-4AF8-9EEF-02A8F568E27B}" name="Tablo414" displayName="Tablo414" ref="B53:C137" totalsRowShown="0">
  <autoFilter ref="B53:C137" xr:uid="{9747CE49-AC9E-4AF8-9EEF-02A8F568E27B}"/>
  <sortState xmlns:xlrd2="http://schemas.microsoft.com/office/spreadsheetml/2017/richdata2" ref="B54:C54">
    <sortCondition ref="B6:B7"/>
  </sortState>
  <tableColumns count="2">
    <tableColumn id="1" xr3:uid="{3C28A605-FDBF-48CD-BAE7-F8F7F2D11E0E}" name="Özellikler"/>
    <tableColumn id="2" xr3:uid="{C19FC3B0-C65E-4459-95FD-C476DF60C193}" name="Adet">
      <calculatedColumnFormula>COUNTIF(Tablo414[Özellikler],Tablo414[[#This Row],[Özellikler]])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8BD0DF-C3D3-48C9-AD87-01C17693947F}" name="Tablo1" displayName="Tablo1" ref="R6:S24" totalsRowShown="0">
  <autoFilter ref="R6:S24" xr:uid="{2F8BD0DF-C3D3-48C9-AD87-01C17693947F}"/>
  <sortState xmlns:xlrd2="http://schemas.microsoft.com/office/spreadsheetml/2017/richdata2" ref="R7:S7">
    <sortCondition ref="R6:R7"/>
  </sortState>
  <tableColumns count="2">
    <tableColumn id="1" xr3:uid="{A48FDE9A-C601-44DB-BF9F-C2D130D2F880}" name="Özellikler"/>
    <tableColumn id="2" xr3:uid="{BDF302C0-E776-41CB-9746-F431BDEB386D}" name="Adet">
      <calculatedColumnFormula>COUNTIF(Tablo1[Özellikler],Tablo1[[#This Row],[Özellikler]])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EF16D-C4C3-4C40-9481-2D8F3FAC9E10}" name="Tablo3" displayName="Tablo3" ref="T6:U33" totalsRowShown="0">
  <autoFilter ref="T6:U33" xr:uid="{1FCEF16D-C4C3-4C40-9481-2D8F3FAC9E10}"/>
  <sortState xmlns:xlrd2="http://schemas.microsoft.com/office/spreadsheetml/2017/richdata2" ref="T6:U6">
    <sortCondition ref="T6:T7"/>
  </sortState>
  <tableColumns count="2">
    <tableColumn id="1" xr3:uid="{CC077205-608A-4D24-912D-2C9D3B7165F4}" name="Özellikler"/>
    <tableColumn id="2" xr3:uid="{C50A729C-F215-4028-B580-7B01B8402DDA}" name="Adet">
      <calculatedColumnFormula>COUNTIF(Tablo3[Özellikler],Tablo3[[#This Row],[Özellikler]])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CC4AC0-5D50-43C7-8A99-58922819CF5C}" name="Tablo4" displayName="Tablo4" ref="U6:V90" totalsRowShown="0">
  <autoFilter ref="U6:V90" xr:uid="{C6CC4AC0-5D50-43C7-8A99-58922819CF5C}"/>
  <sortState xmlns:xlrd2="http://schemas.microsoft.com/office/spreadsheetml/2017/richdata2" ref="U6:V6">
    <sortCondition ref="U6:U7"/>
  </sortState>
  <tableColumns count="2">
    <tableColumn id="1" xr3:uid="{6B5C8C3A-E383-4A14-A49C-2CBA713EF712}" name="Özellikler"/>
    <tableColumn id="2" xr3:uid="{939771F1-1EEA-448C-A94B-4736A1318044}" name="Adet">
      <calculatedColumnFormula>COUNTIF(Tablo4[Özellikler],Tablo4[[#This Row],[Özellikler]])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A2BA2D-6F9B-46C8-94B8-E27F18BA0425}" name="Tablo5" displayName="Tablo5" ref="U6:V48" totalsRowShown="0">
  <autoFilter ref="U6:V48" xr:uid="{C0A2BA2D-6F9B-46C8-94B8-E27F18BA0425}"/>
  <sortState xmlns:xlrd2="http://schemas.microsoft.com/office/spreadsheetml/2017/richdata2" ref="U6:V6">
    <sortCondition ref="U6:U7"/>
  </sortState>
  <tableColumns count="2">
    <tableColumn id="1" xr3:uid="{DC3D1586-E3F9-4CF4-A5F2-DBD8416539B4}" name="Özellikler"/>
    <tableColumn id="2" xr3:uid="{F66EB1CD-75CD-41B1-8136-81CA7FEC9209}" name="Adet">
      <calculatedColumnFormula>COUNTIF(Tablo5[Özellikler],Tablo5[[#This Row],[Özellikler]])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5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CBBB3-E3C4-40CA-9493-AA0F74FB69AD}">
  <dimension ref="A2:U137"/>
  <sheetViews>
    <sheetView tabSelected="1" workbookViewId="0">
      <selection activeCell="F11" sqref="F11"/>
    </sheetView>
  </sheetViews>
  <sheetFormatPr defaultRowHeight="15" x14ac:dyDescent="0.25"/>
  <cols>
    <col min="2" max="2" width="17.7109375" bestFit="1" customWidth="1"/>
    <col min="3" max="3" width="7.5703125" bestFit="1" customWidth="1"/>
    <col min="5" max="5" width="17.7109375" bestFit="1" customWidth="1"/>
    <col min="6" max="6" width="10.7109375" bestFit="1" customWidth="1"/>
    <col min="9" max="9" width="16.28515625" bestFit="1" customWidth="1"/>
    <col min="10" max="10" width="7.5703125" bestFit="1" customWidth="1"/>
    <col min="12" max="12" width="16.28515625" bestFit="1" customWidth="1"/>
    <col min="13" max="13" width="10.7109375" bestFit="1" customWidth="1"/>
    <col min="16" max="16" width="16.28515625" bestFit="1" customWidth="1"/>
    <col min="17" max="17" width="7.5703125" bestFit="1" customWidth="1"/>
    <col min="19" max="19" width="16.28515625" bestFit="1" customWidth="1"/>
    <col min="20" max="20" width="10.7109375" bestFit="1" customWidth="1"/>
  </cols>
  <sheetData>
    <row r="2" spans="1:21" ht="23.25" x14ac:dyDescent="0.25">
      <c r="A2" s="7" t="s">
        <v>21</v>
      </c>
      <c r="B2" s="7"/>
      <c r="C2" s="7"/>
      <c r="D2" s="7"/>
      <c r="E2" s="7"/>
      <c r="F2" s="7"/>
      <c r="G2" s="7"/>
      <c r="H2" s="7" t="s">
        <v>22</v>
      </c>
      <c r="I2" s="7"/>
      <c r="J2" s="7"/>
      <c r="K2" s="7"/>
      <c r="L2" s="7"/>
      <c r="M2" s="7"/>
      <c r="N2" s="7"/>
      <c r="O2" s="7" t="s">
        <v>23</v>
      </c>
      <c r="P2" s="7"/>
      <c r="Q2" s="7"/>
      <c r="R2" s="7"/>
      <c r="S2" s="7"/>
      <c r="T2" s="7"/>
      <c r="U2" s="7"/>
    </row>
    <row r="4" spans="1:21" x14ac:dyDescent="0.25">
      <c r="B4" t="s">
        <v>13</v>
      </c>
      <c r="C4" t="s">
        <v>14</v>
      </c>
      <c r="E4" s="4" t="s">
        <v>13</v>
      </c>
      <c r="F4" t="s">
        <v>16</v>
      </c>
      <c r="I4" t="s">
        <v>13</v>
      </c>
      <c r="J4" t="s">
        <v>14</v>
      </c>
      <c r="L4" s="4" t="s">
        <v>13</v>
      </c>
      <c r="M4" t="s">
        <v>16</v>
      </c>
      <c r="P4" t="s">
        <v>13</v>
      </c>
      <c r="Q4" t="s">
        <v>14</v>
      </c>
      <c r="S4" s="4" t="s">
        <v>13</v>
      </c>
      <c r="T4" t="s">
        <v>16</v>
      </c>
    </row>
    <row r="5" spans="1:21" x14ac:dyDescent="0.25">
      <c r="B5" t="s">
        <v>0</v>
      </c>
      <c r="C5">
        <f>COUNTIF(Tablo111[Özellikler],Tablo111[[#This Row],[Özellikler]])</f>
        <v>8</v>
      </c>
      <c r="E5" s="5" t="s">
        <v>2</v>
      </c>
      <c r="F5" s="37">
        <v>1</v>
      </c>
      <c r="I5" t="s">
        <v>4</v>
      </c>
      <c r="J5">
        <f>COUNTIF(Tablo312[Özellikler],Tablo312[[#This Row],[Özellikler]])</f>
        <v>5</v>
      </c>
      <c r="L5" s="5" t="s">
        <v>4</v>
      </c>
      <c r="M5" s="37">
        <v>5</v>
      </c>
      <c r="P5" t="s">
        <v>1</v>
      </c>
      <c r="Q5">
        <f>COUNTIF(Tablo513[Özellikler],Tablo513[[#This Row],[Özellikler]])</f>
        <v>40</v>
      </c>
      <c r="S5" s="5" t="s">
        <v>1</v>
      </c>
      <c r="T5" s="37">
        <v>40</v>
      </c>
    </row>
    <row r="6" spans="1:21" x14ac:dyDescent="0.25">
      <c r="B6" t="s">
        <v>0</v>
      </c>
      <c r="C6">
        <f>COUNTIF(Tablo111[Özellikler],Tablo111[[#This Row],[Özellikler]])</f>
        <v>8</v>
      </c>
      <c r="E6" s="5" t="s">
        <v>0</v>
      </c>
      <c r="F6" s="37">
        <v>8</v>
      </c>
      <c r="I6" t="s">
        <v>3</v>
      </c>
      <c r="J6">
        <f>COUNTIF(Tablo312[Özellikler],Tablo312[[#This Row],[Özellikler]])</f>
        <v>18</v>
      </c>
      <c r="L6" s="5" t="s">
        <v>3</v>
      </c>
      <c r="M6" s="37">
        <v>18</v>
      </c>
      <c r="P6" t="s">
        <v>1</v>
      </c>
      <c r="Q6">
        <f>COUNTIF(Tablo513[Özellikler],Tablo513[[#This Row],[Özellikler]])</f>
        <v>40</v>
      </c>
      <c r="S6" s="5" t="s">
        <v>6</v>
      </c>
      <c r="T6" s="37">
        <v>2</v>
      </c>
    </row>
    <row r="7" spans="1:21" x14ac:dyDescent="0.25">
      <c r="B7" t="s">
        <v>0</v>
      </c>
      <c r="C7">
        <f>COUNTIF(Tablo111[Özellikler],Tablo111[[#This Row],[Özellikler]])</f>
        <v>8</v>
      </c>
      <c r="E7" s="5" t="s">
        <v>1</v>
      </c>
      <c r="F7" s="37">
        <v>9</v>
      </c>
      <c r="I7" t="s">
        <v>3</v>
      </c>
      <c r="J7">
        <f>COUNTIF(Tablo312[Özellikler],Tablo312[[#This Row],[Özellikler]])</f>
        <v>18</v>
      </c>
      <c r="L7" s="5" t="s">
        <v>7</v>
      </c>
      <c r="M7" s="37">
        <v>1</v>
      </c>
      <c r="P7" t="s">
        <v>1</v>
      </c>
      <c r="Q7">
        <f>COUNTIF(Tablo513[Özellikler],Tablo513[[#This Row],[Özellikler]])</f>
        <v>40</v>
      </c>
      <c r="S7" s="5" t="s">
        <v>15</v>
      </c>
      <c r="T7" s="37">
        <v>42</v>
      </c>
    </row>
    <row r="8" spans="1:21" x14ac:dyDescent="0.25">
      <c r="B8" t="s">
        <v>0</v>
      </c>
      <c r="C8">
        <f>COUNTIF(Tablo111[Özellikler],Tablo111[[#This Row],[Özellikler]])</f>
        <v>8</v>
      </c>
      <c r="E8" s="5" t="s">
        <v>15</v>
      </c>
      <c r="F8" s="37">
        <v>18</v>
      </c>
      <c r="I8" t="s">
        <v>7</v>
      </c>
      <c r="J8">
        <f>COUNTIF(Tablo312[Özellikler],Tablo312[[#This Row],[Özellikler]])</f>
        <v>1</v>
      </c>
      <c r="L8" s="5" t="s">
        <v>6</v>
      </c>
      <c r="M8" s="37">
        <v>2</v>
      </c>
      <c r="P8" t="s">
        <v>1</v>
      </c>
      <c r="Q8">
        <f>COUNTIF(Tablo513[Özellikler],Tablo513[[#This Row],[Özellikler]])</f>
        <v>40</v>
      </c>
    </row>
    <row r="9" spans="1:21" x14ac:dyDescent="0.25">
      <c r="B9" t="s">
        <v>0</v>
      </c>
      <c r="C9">
        <f>COUNTIF(Tablo111[Özellikler],Tablo111[[#This Row],[Özellikler]])</f>
        <v>8</v>
      </c>
      <c r="I9" t="s">
        <v>3</v>
      </c>
      <c r="J9">
        <f>COUNTIF(Tablo312[Özellikler],Tablo312[[#This Row],[Özellikler]])</f>
        <v>18</v>
      </c>
      <c r="L9" s="5" t="s">
        <v>5</v>
      </c>
      <c r="M9" s="37">
        <v>1</v>
      </c>
      <c r="P9" t="s">
        <v>1</v>
      </c>
      <c r="Q9">
        <f>COUNTIF(Tablo513[Özellikler],Tablo513[[#This Row],[Özellikler]])</f>
        <v>40</v>
      </c>
    </row>
    <row r="10" spans="1:21" x14ac:dyDescent="0.25">
      <c r="B10" t="s">
        <v>0</v>
      </c>
      <c r="C10">
        <f>COUNTIF(Tablo111[Özellikler],Tablo111[[#This Row],[Özellikler]])</f>
        <v>8</v>
      </c>
      <c r="I10" t="s">
        <v>4</v>
      </c>
      <c r="J10">
        <f>COUNTIF(Tablo312[Özellikler],Tablo312[[#This Row],[Özellikler]])</f>
        <v>5</v>
      </c>
      <c r="L10" s="5" t="s">
        <v>15</v>
      </c>
      <c r="M10" s="37">
        <v>27</v>
      </c>
      <c r="P10" t="s">
        <v>1</v>
      </c>
      <c r="Q10">
        <f>COUNTIF(Tablo513[Özellikler],Tablo513[[#This Row],[Özellikler]])</f>
        <v>40</v>
      </c>
    </row>
    <row r="11" spans="1:21" x14ac:dyDescent="0.25">
      <c r="B11" t="s">
        <v>0</v>
      </c>
      <c r="C11">
        <f>COUNTIF(Tablo111[Özellikler],Tablo111[[#This Row],[Özellikler]])</f>
        <v>8</v>
      </c>
      <c r="I11" t="s">
        <v>3</v>
      </c>
      <c r="J11">
        <f>COUNTIF(Tablo312[Özellikler],Tablo312[[#This Row],[Özellikler]])</f>
        <v>18</v>
      </c>
      <c r="P11" t="s">
        <v>1</v>
      </c>
      <c r="Q11">
        <f>COUNTIF(Tablo513[Özellikler],Tablo513[[#This Row],[Özellikler]])</f>
        <v>40</v>
      </c>
    </row>
    <row r="12" spans="1:21" x14ac:dyDescent="0.25">
      <c r="B12" t="s">
        <v>0</v>
      </c>
      <c r="C12">
        <f>COUNTIF(Tablo111[Özellikler],Tablo111[[#This Row],[Özellikler]])</f>
        <v>8</v>
      </c>
      <c r="I12" t="s">
        <v>6</v>
      </c>
      <c r="J12">
        <f>COUNTIF(Tablo312[Özellikler],Tablo312[[#This Row],[Özellikler]])</f>
        <v>2</v>
      </c>
      <c r="P12" t="s">
        <v>1</v>
      </c>
      <c r="Q12">
        <f>COUNTIF(Tablo513[Özellikler],Tablo513[[#This Row],[Özellikler]])</f>
        <v>40</v>
      </c>
    </row>
    <row r="13" spans="1:21" x14ac:dyDescent="0.25">
      <c r="B13" t="s">
        <v>1</v>
      </c>
      <c r="C13">
        <f>COUNTIF(Tablo111[Özellikler],Tablo111[[#This Row],[Özellikler]])</f>
        <v>9</v>
      </c>
      <c r="I13" t="s">
        <v>4</v>
      </c>
      <c r="J13">
        <f>COUNTIF(Tablo312[Özellikler],Tablo312[[#This Row],[Özellikler]])</f>
        <v>5</v>
      </c>
      <c r="P13" t="s">
        <v>1</v>
      </c>
      <c r="Q13">
        <f>COUNTIF(Tablo513[Özellikler],Tablo513[[#This Row],[Özellikler]])</f>
        <v>40</v>
      </c>
    </row>
    <row r="14" spans="1:21" x14ac:dyDescent="0.25">
      <c r="B14" t="s">
        <v>1</v>
      </c>
      <c r="C14">
        <f>COUNTIF(Tablo111[Özellikler],Tablo111[[#This Row],[Özellikler]])</f>
        <v>9</v>
      </c>
      <c r="I14" t="s">
        <v>4</v>
      </c>
      <c r="J14">
        <f>COUNTIF(Tablo312[Özellikler],Tablo312[[#This Row],[Özellikler]])</f>
        <v>5</v>
      </c>
      <c r="P14" t="s">
        <v>1</v>
      </c>
      <c r="Q14">
        <f>COUNTIF(Tablo513[Özellikler],Tablo513[[#This Row],[Özellikler]])</f>
        <v>40</v>
      </c>
    </row>
    <row r="15" spans="1:21" x14ac:dyDescent="0.25">
      <c r="B15" t="s">
        <v>1</v>
      </c>
      <c r="C15">
        <f>COUNTIF(Tablo111[Özellikler],Tablo111[[#This Row],[Özellikler]])</f>
        <v>9</v>
      </c>
      <c r="I15" t="s">
        <v>5</v>
      </c>
      <c r="J15">
        <f>COUNTIF(Tablo312[Özellikler],Tablo312[[#This Row],[Özellikler]])</f>
        <v>1</v>
      </c>
      <c r="P15" t="s">
        <v>1</v>
      </c>
      <c r="Q15">
        <f>COUNTIF(Tablo513[Özellikler],Tablo513[[#This Row],[Özellikler]])</f>
        <v>40</v>
      </c>
    </row>
    <row r="16" spans="1:21" x14ac:dyDescent="0.25">
      <c r="B16" t="s">
        <v>1</v>
      </c>
      <c r="C16">
        <f>COUNTIF(Tablo111[Özellikler],Tablo111[[#This Row],[Özellikler]])</f>
        <v>9</v>
      </c>
      <c r="I16" t="s">
        <v>6</v>
      </c>
      <c r="J16">
        <f>COUNTIF(Tablo312[Özellikler],Tablo312[[#This Row],[Özellikler]])</f>
        <v>2</v>
      </c>
      <c r="P16" t="s">
        <v>1</v>
      </c>
      <c r="Q16">
        <f>COUNTIF(Tablo513[Özellikler],Tablo513[[#This Row],[Özellikler]])</f>
        <v>40</v>
      </c>
    </row>
    <row r="17" spans="2:17" x14ac:dyDescent="0.25">
      <c r="B17" t="s">
        <v>1</v>
      </c>
      <c r="C17">
        <f>COUNTIF(Tablo111[Özellikler],Tablo111[[#This Row],[Özellikler]])</f>
        <v>9</v>
      </c>
      <c r="I17" t="s">
        <v>3</v>
      </c>
      <c r="J17">
        <f>COUNTIF(Tablo312[Özellikler],Tablo312[[#This Row],[Özellikler]])</f>
        <v>18</v>
      </c>
      <c r="P17" t="s">
        <v>1</v>
      </c>
      <c r="Q17">
        <f>COUNTIF(Tablo513[Özellikler],Tablo513[[#This Row],[Özellikler]])</f>
        <v>40</v>
      </c>
    </row>
    <row r="18" spans="2:17" x14ac:dyDescent="0.25">
      <c r="B18" t="s">
        <v>1</v>
      </c>
      <c r="C18">
        <f>COUNTIF(Tablo111[Özellikler],Tablo111[[#This Row],[Özellikler]])</f>
        <v>9</v>
      </c>
      <c r="I18" t="s">
        <v>3</v>
      </c>
      <c r="J18">
        <f>COUNTIF(Tablo312[Özellikler],Tablo312[[#This Row],[Özellikler]])</f>
        <v>18</v>
      </c>
      <c r="P18" t="s">
        <v>1</v>
      </c>
      <c r="Q18">
        <f>COUNTIF(Tablo513[Özellikler],Tablo513[[#This Row],[Özellikler]])</f>
        <v>40</v>
      </c>
    </row>
    <row r="19" spans="2:17" x14ac:dyDescent="0.25">
      <c r="B19" t="s">
        <v>2</v>
      </c>
      <c r="C19">
        <f>COUNTIF(Tablo111[Özellikler],Tablo111[[#This Row],[Özellikler]])</f>
        <v>1</v>
      </c>
      <c r="I19" t="s">
        <v>3</v>
      </c>
      <c r="J19">
        <f>COUNTIF(Tablo312[Özellikler],Tablo312[[#This Row],[Özellikler]])</f>
        <v>18</v>
      </c>
      <c r="P19" t="s">
        <v>1</v>
      </c>
      <c r="Q19">
        <f>COUNTIF(Tablo513[Özellikler],Tablo513[[#This Row],[Özellikler]])</f>
        <v>40</v>
      </c>
    </row>
    <row r="20" spans="2:17" x14ac:dyDescent="0.25">
      <c r="B20" t="s">
        <v>1</v>
      </c>
      <c r="C20">
        <f>COUNTIF(Tablo111[Özellikler],Tablo111[[#This Row],[Özellikler]])</f>
        <v>9</v>
      </c>
      <c r="I20" t="s">
        <v>3</v>
      </c>
      <c r="J20">
        <f>COUNTIF(Tablo312[Özellikler],Tablo312[[#This Row],[Özellikler]])</f>
        <v>18</v>
      </c>
      <c r="P20" t="s">
        <v>1</v>
      </c>
      <c r="Q20">
        <f>COUNTIF(Tablo513[Özellikler],Tablo513[[#This Row],[Özellikler]])</f>
        <v>40</v>
      </c>
    </row>
    <row r="21" spans="2:17" x14ac:dyDescent="0.25">
      <c r="B21" t="s">
        <v>1</v>
      </c>
      <c r="C21">
        <f>COUNTIF(Tablo111[Özellikler],Tablo111[[#This Row],[Özellikler]])</f>
        <v>9</v>
      </c>
      <c r="I21" t="s">
        <v>3</v>
      </c>
      <c r="J21">
        <f>COUNTIF(Tablo312[Özellikler],Tablo312[[#This Row],[Özellikler]])</f>
        <v>18</v>
      </c>
      <c r="P21" t="s">
        <v>1</v>
      </c>
      <c r="Q21">
        <f>COUNTIF(Tablo513[Özellikler],Tablo513[[#This Row],[Özellikler]])</f>
        <v>40</v>
      </c>
    </row>
    <row r="22" spans="2:17" x14ac:dyDescent="0.25">
      <c r="B22" t="s">
        <v>1</v>
      </c>
      <c r="C22">
        <f>COUNTIF(Tablo111[Özellikler],Tablo111[[#This Row],[Özellikler]])</f>
        <v>9</v>
      </c>
      <c r="I22" t="s">
        <v>3</v>
      </c>
      <c r="J22">
        <f>COUNTIF(Tablo312[Özellikler],Tablo312[[#This Row],[Özellikler]])</f>
        <v>18</v>
      </c>
      <c r="P22" t="s">
        <v>6</v>
      </c>
      <c r="Q22">
        <f>COUNTIF(Tablo513[Özellikler],Tablo513[[#This Row],[Özellikler]])</f>
        <v>2</v>
      </c>
    </row>
    <row r="23" spans="2:17" x14ac:dyDescent="0.25">
      <c r="I23" t="s">
        <v>3</v>
      </c>
      <c r="J23">
        <f>COUNTIF(Tablo312[Özellikler],Tablo312[[#This Row],[Özellikler]])</f>
        <v>18</v>
      </c>
      <c r="P23" t="s">
        <v>1</v>
      </c>
      <c r="Q23">
        <f>COUNTIF(Tablo513[Özellikler],Tablo513[[#This Row],[Özellikler]])</f>
        <v>40</v>
      </c>
    </row>
    <row r="24" spans="2:17" x14ac:dyDescent="0.25">
      <c r="I24" t="s">
        <v>3</v>
      </c>
      <c r="J24">
        <f>COUNTIF(Tablo312[Özellikler],Tablo312[[#This Row],[Özellikler]])</f>
        <v>18</v>
      </c>
      <c r="P24" t="s">
        <v>1</v>
      </c>
      <c r="Q24">
        <f>COUNTIF(Tablo513[Özellikler],Tablo513[[#This Row],[Özellikler]])</f>
        <v>40</v>
      </c>
    </row>
    <row r="25" spans="2:17" x14ac:dyDescent="0.25">
      <c r="I25" t="s">
        <v>3</v>
      </c>
      <c r="J25">
        <f>COUNTIF(Tablo312[Özellikler],Tablo312[[#This Row],[Özellikler]])</f>
        <v>18</v>
      </c>
      <c r="P25" t="s">
        <v>1</v>
      </c>
      <c r="Q25">
        <f>COUNTIF(Tablo513[Özellikler],Tablo513[[#This Row],[Özellikler]])</f>
        <v>40</v>
      </c>
    </row>
    <row r="26" spans="2:17" x14ac:dyDescent="0.25">
      <c r="I26" t="s">
        <v>3</v>
      </c>
      <c r="J26">
        <f>COUNTIF(Tablo312[Özellikler],Tablo312[[#This Row],[Özellikler]])</f>
        <v>18</v>
      </c>
      <c r="P26" t="s">
        <v>1</v>
      </c>
      <c r="Q26">
        <f>COUNTIF(Tablo513[Özellikler],Tablo513[[#This Row],[Özellikler]])</f>
        <v>40</v>
      </c>
    </row>
    <row r="27" spans="2:17" x14ac:dyDescent="0.25">
      <c r="I27" t="s">
        <v>3</v>
      </c>
      <c r="J27">
        <f>COUNTIF(Tablo312[Özellikler],Tablo312[[#This Row],[Özellikler]])</f>
        <v>18</v>
      </c>
      <c r="P27" t="s">
        <v>1</v>
      </c>
      <c r="Q27">
        <f>COUNTIF(Tablo513[Özellikler],Tablo513[[#This Row],[Özellikler]])</f>
        <v>40</v>
      </c>
    </row>
    <row r="28" spans="2:17" x14ac:dyDescent="0.25">
      <c r="I28" t="s">
        <v>3</v>
      </c>
      <c r="J28">
        <f>COUNTIF(Tablo312[Özellikler],Tablo312[[#This Row],[Özellikler]])</f>
        <v>18</v>
      </c>
      <c r="P28" t="s">
        <v>1</v>
      </c>
      <c r="Q28">
        <f>COUNTIF(Tablo513[Özellikler],Tablo513[[#This Row],[Özellikler]])</f>
        <v>40</v>
      </c>
    </row>
    <row r="29" spans="2:17" x14ac:dyDescent="0.25">
      <c r="I29" t="s">
        <v>3</v>
      </c>
      <c r="J29">
        <f>COUNTIF(Tablo312[Özellikler],Tablo312[[#This Row],[Özellikler]])</f>
        <v>18</v>
      </c>
      <c r="P29" t="s">
        <v>1</v>
      </c>
      <c r="Q29">
        <f>COUNTIF(Tablo513[Özellikler],Tablo513[[#This Row],[Özellikler]])</f>
        <v>40</v>
      </c>
    </row>
    <row r="30" spans="2:17" x14ac:dyDescent="0.25">
      <c r="I30" t="s">
        <v>4</v>
      </c>
      <c r="J30">
        <f>COUNTIF(Tablo312[Özellikler],Tablo312[[#This Row],[Özellikler]])</f>
        <v>5</v>
      </c>
      <c r="P30" t="s">
        <v>1</v>
      </c>
      <c r="Q30">
        <f>COUNTIF(Tablo513[Özellikler],Tablo513[[#This Row],[Özellikler]])</f>
        <v>40</v>
      </c>
    </row>
    <row r="31" spans="2:17" x14ac:dyDescent="0.25">
      <c r="I31" t="s">
        <v>3</v>
      </c>
      <c r="J31">
        <f>COUNTIF(Tablo312[Özellikler],Tablo312[[#This Row],[Özellikler]])</f>
        <v>18</v>
      </c>
      <c r="P31" t="s">
        <v>1</v>
      </c>
      <c r="Q31">
        <f>COUNTIF(Tablo513[Özellikler],Tablo513[[#This Row],[Özellikler]])</f>
        <v>40</v>
      </c>
    </row>
    <row r="32" spans="2:17" x14ac:dyDescent="0.25">
      <c r="P32" t="s">
        <v>1</v>
      </c>
      <c r="Q32">
        <f>COUNTIF(Tablo513[Özellikler],Tablo513[[#This Row],[Özellikler]])</f>
        <v>40</v>
      </c>
    </row>
    <row r="33" spans="16:17" x14ac:dyDescent="0.25">
      <c r="P33" t="s">
        <v>1</v>
      </c>
      <c r="Q33">
        <f>COUNTIF(Tablo513[Özellikler],Tablo513[[#This Row],[Özellikler]])</f>
        <v>40</v>
      </c>
    </row>
    <row r="34" spans="16:17" x14ac:dyDescent="0.25">
      <c r="P34" t="s">
        <v>1</v>
      </c>
      <c r="Q34">
        <f>COUNTIF(Tablo513[Özellikler],Tablo513[[#This Row],[Özellikler]])</f>
        <v>40</v>
      </c>
    </row>
    <row r="35" spans="16:17" x14ac:dyDescent="0.25">
      <c r="P35" t="s">
        <v>1</v>
      </c>
      <c r="Q35">
        <f>COUNTIF(Tablo513[Özellikler],Tablo513[[#This Row],[Özellikler]])</f>
        <v>40</v>
      </c>
    </row>
    <row r="36" spans="16:17" x14ac:dyDescent="0.25">
      <c r="P36" t="s">
        <v>1</v>
      </c>
      <c r="Q36">
        <f>COUNTIF(Tablo513[Özellikler],Tablo513[[#This Row],[Özellikler]])</f>
        <v>40</v>
      </c>
    </row>
    <row r="37" spans="16:17" x14ac:dyDescent="0.25">
      <c r="P37" t="s">
        <v>1</v>
      </c>
      <c r="Q37">
        <f>COUNTIF(Tablo513[Özellikler],Tablo513[[#This Row],[Özellikler]])</f>
        <v>40</v>
      </c>
    </row>
    <row r="38" spans="16:17" x14ac:dyDescent="0.25">
      <c r="P38" t="s">
        <v>1</v>
      </c>
      <c r="Q38">
        <f>COUNTIF(Tablo513[Özellikler],Tablo513[[#This Row],[Özellikler]])</f>
        <v>40</v>
      </c>
    </row>
    <row r="39" spans="16:17" x14ac:dyDescent="0.25">
      <c r="P39" t="s">
        <v>1</v>
      </c>
      <c r="Q39">
        <f>COUNTIF(Tablo513[Özellikler],Tablo513[[#This Row],[Özellikler]])</f>
        <v>40</v>
      </c>
    </row>
    <row r="40" spans="16:17" x14ac:dyDescent="0.25">
      <c r="P40" t="s">
        <v>1</v>
      </c>
      <c r="Q40">
        <f>COUNTIF(Tablo513[Özellikler],Tablo513[[#This Row],[Özellikler]])</f>
        <v>40</v>
      </c>
    </row>
    <row r="41" spans="16:17" x14ac:dyDescent="0.25">
      <c r="P41" t="s">
        <v>1</v>
      </c>
      <c r="Q41">
        <f>COUNTIF(Tablo513[Özellikler],Tablo513[[#This Row],[Özellikler]])</f>
        <v>40</v>
      </c>
    </row>
    <row r="42" spans="16:17" x14ac:dyDescent="0.25">
      <c r="P42" t="s">
        <v>1</v>
      </c>
      <c r="Q42">
        <f>COUNTIF(Tablo513[Özellikler],Tablo513[[#This Row],[Özellikler]])</f>
        <v>40</v>
      </c>
    </row>
    <row r="43" spans="16:17" x14ac:dyDescent="0.25">
      <c r="P43" t="s">
        <v>6</v>
      </c>
      <c r="Q43">
        <f>COUNTIF(Tablo513[Özellikler],Tablo513[[#This Row],[Özellikler]])</f>
        <v>2</v>
      </c>
    </row>
    <row r="44" spans="16:17" x14ac:dyDescent="0.25">
      <c r="P44" t="s">
        <v>1</v>
      </c>
      <c r="Q44">
        <f>COUNTIF(Tablo513[Özellikler],Tablo513[[#This Row],[Özellikler]])</f>
        <v>40</v>
      </c>
    </row>
    <row r="45" spans="16:17" x14ac:dyDescent="0.25">
      <c r="P45" t="s">
        <v>1</v>
      </c>
      <c r="Q45">
        <f>COUNTIF(Tablo513[Özellikler],Tablo513[[#This Row],[Özellikler]])</f>
        <v>40</v>
      </c>
    </row>
    <row r="46" spans="16:17" x14ac:dyDescent="0.25">
      <c r="P46" t="s">
        <v>1</v>
      </c>
      <c r="Q46">
        <f>COUNTIF(Tablo513[Özellikler],Tablo513[[#This Row],[Özellikler]])</f>
        <v>40</v>
      </c>
    </row>
    <row r="51" spans="1:7" ht="23.25" x14ac:dyDescent="0.25">
      <c r="A51" s="7" t="s">
        <v>24</v>
      </c>
      <c r="B51" s="7"/>
      <c r="C51" s="7"/>
      <c r="D51" s="7"/>
      <c r="E51" s="7"/>
      <c r="F51" s="7"/>
      <c r="G51" s="7"/>
    </row>
    <row r="53" spans="1:7" x14ac:dyDescent="0.25">
      <c r="B53" t="s">
        <v>13</v>
      </c>
      <c r="C53" t="s">
        <v>14</v>
      </c>
      <c r="E53" s="4" t="s">
        <v>13</v>
      </c>
      <c r="F53" t="s">
        <v>16</v>
      </c>
    </row>
    <row r="54" spans="1:7" x14ac:dyDescent="0.25">
      <c r="B54" t="s">
        <v>8</v>
      </c>
      <c r="C54">
        <f>COUNTIF(Tablo414[Özellikler],Tablo414[[#This Row],[Özellikler]])</f>
        <v>81</v>
      </c>
      <c r="E54" s="5" t="s">
        <v>8</v>
      </c>
      <c r="F54" s="37">
        <v>81</v>
      </c>
    </row>
    <row r="55" spans="1:7" x14ac:dyDescent="0.25">
      <c r="B55" t="s">
        <v>8</v>
      </c>
      <c r="C55">
        <f>COUNTIF(Tablo414[Özellikler],Tablo414[[#This Row],[Özellikler]])</f>
        <v>81</v>
      </c>
      <c r="E55" s="5" t="s">
        <v>7</v>
      </c>
      <c r="F55" s="37">
        <v>1</v>
      </c>
    </row>
    <row r="56" spans="1:7" x14ac:dyDescent="0.25">
      <c r="B56" t="s">
        <v>8</v>
      </c>
      <c r="C56">
        <f>COUNTIF(Tablo414[Özellikler],Tablo414[[#This Row],[Özellikler]])</f>
        <v>81</v>
      </c>
      <c r="E56" s="5" t="s">
        <v>9</v>
      </c>
      <c r="F56" s="37">
        <v>1</v>
      </c>
    </row>
    <row r="57" spans="1:7" x14ac:dyDescent="0.25">
      <c r="B57" t="s">
        <v>8</v>
      </c>
      <c r="C57">
        <f>COUNTIF(Tablo414[Özellikler],Tablo414[[#This Row],[Özellikler]])</f>
        <v>81</v>
      </c>
      <c r="E57" s="5" t="s">
        <v>6</v>
      </c>
      <c r="F57" s="37">
        <v>1</v>
      </c>
    </row>
    <row r="58" spans="1:7" x14ac:dyDescent="0.25">
      <c r="B58" t="s">
        <v>8</v>
      </c>
      <c r="C58">
        <f>COUNTIF(Tablo414[Özellikler],Tablo414[[#This Row],[Özellikler]])</f>
        <v>81</v>
      </c>
      <c r="E58" s="5" t="s">
        <v>15</v>
      </c>
      <c r="F58" s="37">
        <v>84</v>
      </c>
    </row>
    <row r="59" spans="1:7" x14ac:dyDescent="0.25">
      <c r="B59" t="s">
        <v>8</v>
      </c>
      <c r="C59">
        <f>COUNTIF(Tablo414[Özellikler],Tablo414[[#This Row],[Özellikler]])</f>
        <v>81</v>
      </c>
    </row>
    <row r="60" spans="1:7" x14ac:dyDescent="0.25">
      <c r="B60" t="s">
        <v>8</v>
      </c>
      <c r="C60">
        <f>COUNTIF(Tablo414[Özellikler],Tablo414[[#This Row],[Özellikler]])</f>
        <v>81</v>
      </c>
    </row>
    <row r="61" spans="1:7" x14ac:dyDescent="0.25">
      <c r="B61" t="s">
        <v>8</v>
      </c>
      <c r="C61">
        <f>COUNTIF(Tablo414[Özellikler],Tablo414[[#This Row],[Özellikler]])</f>
        <v>81</v>
      </c>
    </row>
    <row r="62" spans="1:7" x14ac:dyDescent="0.25">
      <c r="B62" t="s">
        <v>8</v>
      </c>
      <c r="C62">
        <f>COUNTIF(Tablo414[Özellikler],Tablo414[[#This Row],[Özellikler]])</f>
        <v>81</v>
      </c>
    </row>
    <row r="63" spans="1:7" x14ac:dyDescent="0.25">
      <c r="B63" t="s">
        <v>8</v>
      </c>
      <c r="C63">
        <f>COUNTIF(Tablo414[Özellikler],Tablo414[[#This Row],[Özellikler]])</f>
        <v>81</v>
      </c>
    </row>
    <row r="64" spans="1:7" x14ac:dyDescent="0.25">
      <c r="B64" t="s">
        <v>8</v>
      </c>
      <c r="C64">
        <f>COUNTIF(Tablo414[Özellikler],Tablo414[[#This Row],[Özellikler]])</f>
        <v>81</v>
      </c>
    </row>
    <row r="65" spans="2:3" x14ac:dyDescent="0.25">
      <c r="B65" t="s">
        <v>8</v>
      </c>
      <c r="C65">
        <f>COUNTIF(Tablo414[Özellikler],Tablo414[[#This Row],[Özellikler]])</f>
        <v>81</v>
      </c>
    </row>
    <row r="66" spans="2:3" x14ac:dyDescent="0.25">
      <c r="B66" t="s">
        <v>8</v>
      </c>
      <c r="C66">
        <f>COUNTIF(Tablo414[Özellikler],Tablo414[[#This Row],[Özellikler]])</f>
        <v>81</v>
      </c>
    </row>
    <row r="67" spans="2:3" x14ac:dyDescent="0.25">
      <c r="B67" t="s">
        <v>8</v>
      </c>
      <c r="C67">
        <f>COUNTIF(Tablo414[Özellikler],Tablo414[[#This Row],[Özellikler]])</f>
        <v>81</v>
      </c>
    </row>
    <row r="68" spans="2:3" x14ac:dyDescent="0.25">
      <c r="B68" t="s">
        <v>8</v>
      </c>
      <c r="C68">
        <f>COUNTIF(Tablo414[Özellikler],Tablo414[[#This Row],[Özellikler]])</f>
        <v>81</v>
      </c>
    </row>
    <row r="69" spans="2:3" x14ac:dyDescent="0.25">
      <c r="B69" t="s">
        <v>8</v>
      </c>
      <c r="C69">
        <f>COUNTIF(Tablo414[Özellikler],Tablo414[[#This Row],[Özellikler]])</f>
        <v>81</v>
      </c>
    </row>
    <row r="70" spans="2:3" x14ac:dyDescent="0.25">
      <c r="B70" t="s">
        <v>8</v>
      </c>
      <c r="C70">
        <f>COUNTIF(Tablo414[Özellikler],Tablo414[[#This Row],[Özellikler]])</f>
        <v>81</v>
      </c>
    </row>
    <row r="71" spans="2:3" x14ac:dyDescent="0.25">
      <c r="B71" t="s">
        <v>8</v>
      </c>
      <c r="C71">
        <f>COUNTIF(Tablo414[Özellikler],Tablo414[[#This Row],[Özellikler]])</f>
        <v>81</v>
      </c>
    </row>
    <row r="72" spans="2:3" x14ac:dyDescent="0.25">
      <c r="B72" t="s">
        <v>8</v>
      </c>
      <c r="C72">
        <f>COUNTIF(Tablo414[Özellikler],Tablo414[[#This Row],[Özellikler]])</f>
        <v>81</v>
      </c>
    </row>
    <row r="73" spans="2:3" x14ac:dyDescent="0.25">
      <c r="B73" t="s">
        <v>8</v>
      </c>
      <c r="C73">
        <f>COUNTIF(Tablo414[Özellikler],Tablo414[[#This Row],[Özellikler]])</f>
        <v>81</v>
      </c>
    </row>
    <row r="74" spans="2:3" x14ac:dyDescent="0.25">
      <c r="B74" t="s">
        <v>8</v>
      </c>
      <c r="C74">
        <f>COUNTIF(Tablo414[Özellikler],Tablo414[[#This Row],[Özellikler]])</f>
        <v>81</v>
      </c>
    </row>
    <row r="75" spans="2:3" x14ac:dyDescent="0.25">
      <c r="B75" t="s">
        <v>8</v>
      </c>
      <c r="C75">
        <f>COUNTIF(Tablo414[Özellikler],Tablo414[[#This Row],[Özellikler]])</f>
        <v>81</v>
      </c>
    </row>
    <row r="76" spans="2:3" x14ac:dyDescent="0.25">
      <c r="B76" t="s">
        <v>8</v>
      </c>
      <c r="C76">
        <f>COUNTIF(Tablo414[Özellikler],Tablo414[[#This Row],[Özellikler]])</f>
        <v>81</v>
      </c>
    </row>
    <row r="77" spans="2:3" x14ac:dyDescent="0.25">
      <c r="B77" t="s">
        <v>8</v>
      </c>
      <c r="C77">
        <f>COUNTIF(Tablo414[Özellikler],Tablo414[[#This Row],[Özellikler]])</f>
        <v>81</v>
      </c>
    </row>
    <row r="78" spans="2:3" x14ac:dyDescent="0.25">
      <c r="B78" t="s">
        <v>8</v>
      </c>
      <c r="C78">
        <f>COUNTIF(Tablo414[Özellikler],Tablo414[[#This Row],[Özellikler]])</f>
        <v>81</v>
      </c>
    </row>
    <row r="79" spans="2:3" x14ac:dyDescent="0.25">
      <c r="B79" t="s">
        <v>8</v>
      </c>
      <c r="C79">
        <f>COUNTIF(Tablo414[Özellikler],Tablo414[[#This Row],[Özellikler]])</f>
        <v>81</v>
      </c>
    </row>
    <row r="80" spans="2:3" x14ac:dyDescent="0.25">
      <c r="B80" t="s">
        <v>8</v>
      </c>
      <c r="C80">
        <f>COUNTIF(Tablo414[Özellikler],Tablo414[[#This Row],[Özellikler]])</f>
        <v>81</v>
      </c>
    </row>
    <row r="81" spans="2:3" x14ac:dyDescent="0.25">
      <c r="B81" t="s">
        <v>8</v>
      </c>
      <c r="C81">
        <f>COUNTIF(Tablo414[Özellikler],Tablo414[[#This Row],[Özellikler]])</f>
        <v>81</v>
      </c>
    </row>
    <row r="82" spans="2:3" x14ac:dyDescent="0.25">
      <c r="B82" t="s">
        <v>8</v>
      </c>
      <c r="C82">
        <f>COUNTIF(Tablo414[Özellikler],Tablo414[[#This Row],[Özellikler]])</f>
        <v>81</v>
      </c>
    </row>
    <row r="83" spans="2:3" x14ac:dyDescent="0.25">
      <c r="B83" t="s">
        <v>8</v>
      </c>
      <c r="C83">
        <f>COUNTIF(Tablo414[Özellikler],Tablo414[[#This Row],[Özellikler]])</f>
        <v>81</v>
      </c>
    </row>
    <row r="84" spans="2:3" x14ac:dyDescent="0.25">
      <c r="B84" t="s">
        <v>8</v>
      </c>
      <c r="C84">
        <f>COUNTIF(Tablo414[Özellikler],Tablo414[[#This Row],[Özellikler]])</f>
        <v>81</v>
      </c>
    </row>
    <row r="85" spans="2:3" x14ac:dyDescent="0.25">
      <c r="B85" t="s">
        <v>7</v>
      </c>
      <c r="C85">
        <f>COUNTIF(Tablo414[Özellikler],Tablo414[[#This Row],[Özellikler]])</f>
        <v>1</v>
      </c>
    </row>
    <row r="86" spans="2:3" x14ac:dyDescent="0.25">
      <c r="B86" t="s">
        <v>8</v>
      </c>
      <c r="C86">
        <f>COUNTIF(Tablo414[Özellikler],Tablo414[[#This Row],[Özellikler]])</f>
        <v>81</v>
      </c>
    </row>
    <row r="87" spans="2:3" x14ac:dyDescent="0.25">
      <c r="B87" t="s">
        <v>8</v>
      </c>
      <c r="C87">
        <f>COUNTIF(Tablo414[Özellikler],Tablo414[[#This Row],[Özellikler]])</f>
        <v>81</v>
      </c>
    </row>
    <row r="88" spans="2:3" x14ac:dyDescent="0.25">
      <c r="B88" t="s">
        <v>8</v>
      </c>
      <c r="C88">
        <f>COUNTIF(Tablo414[Özellikler],Tablo414[[#This Row],[Özellikler]])</f>
        <v>81</v>
      </c>
    </row>
    <row r="89" spans="2:3" x14ac:dyDescent="0.25">
      <c r="B89" t="s">
        <v>8</v>
      </c>
      <c r="C89">
        <f>COUNTIF(Tablo414[Özellikler],Tablo414[[#This Row],[Özellikler]])</f>
        <v>81</v>
      </c>
    </row>
    <row r="90" spans="2:3" x14ac:dyDescent="0.25">
      <c r="B90" t="s">
        <v>8</v>
      </c>
      <c r="C90">
        <f>COUNTIF(Tablo414[Özellikler],Tablo414[[#This Row],[Özellikler]])</f>
        <v>81</v>
      </c>
    </row>
    <row r="91" spans="2:3" x14ac:dyDescent="0.25">
      <c r="B91" t="s">
        <v>8</v>
      </c>
      <c r="C91">
        <f>COUNTIF(Tablo414[Özellikler],Tablo414[[#This Row],[Özellikler]])</f>
        <v>81</v>
      </c>
    </row>
    <row r="92" spans="2:3" x14ac:dyDescent="0.25">
      <c r="B92" t="s">
        <v>8</v>
      </c>
      <c r="C92">
        <f>COUNTIF(Tablo414[Özellikler],Tablo414[[#This Row],[Özellikler]])</f>
        <v>81</v>
      </c>
    </row>
    <row r="93" spans="2:3" x14ac:dyDescent="0.25">
      <c r="B93" t="s">
        <v>8</v>
      </c>
      <c r="C93">
        <f>COUNTIF(Tablo414[Özellikler],Tablo414[[#This Row],[Özellikler]])</f>
        <v>81</v>
      </c>
    </row>
    <row r="94" spans="2:3" x14ac:dyDescent="0.25">
      <c r="B94" t="s">
        <v>8</v>
      </c>
      <c r="C94">
        <f>COUNTIF(Tablo414[Özellikler],Tablo414[[#This Row],[Özellikler]])</f>
        <v>81</v>
      </c>
    </row>
    <row r="95" spans="2:3" x14ac:dyDescent="0.25">
      <c r="B95" t="s">
        <v>8</v>
      </c>
      <c r="C95">
        <f>COUNTIF(Tablo414[Özellikler],Tablo414[[#This Row],[Özellikler]])</f>
        <v>81</v>
      </c>
    </row>
    <row r="96" spans="2:3" x14ac:dyDescent="0.25">
      <c r="B96" t="s">
        <v>8</v>
      </c>
      <c r="C96">
        <f>COUNTIF(Tablo414[Özellikler],Tablo414[[#This Row],[Özellikler]])</f>
        <v>81</v>
      </c>
    </row>
    <row r="97" spans="2:3" x14ac:dyDescent="0.25">
      <c r="B97" t="s">
        <v>9</v>
      </c>
      <c r="C97">
        <f>COUNTIF(Tablo414[Özellikler],Tablo414[[#This Row],[Özellikler]])</f>
        <v>1</v>
      </c>
    </row>
    <row r="98" spans="2:3" x14ac:dyDescent="0.25">
      <c r="B98" t="s">
        <v>8</v>
      </c>
      <c r="C98">
        <f>COUNTIF(Tablo414[Özellikler],Tablo414[[#This Row],[Özellikler]])</f>
        <v>81</v>
      </c>
    </row>
    <row r="99" spans="2:3" x14ac:dyDescent="0.25">
      <c r="B99" t="s">
        <v>6</v>
      </c>
      <c r="C99">
        <f>COUNTIF(Tablo414[Özellikler],Tablo414[[#This Row],[Özellikler]])</f>
        <v>1</v>
      </c>
    </row>
    <row r="100" spans="2:3" x14ac:dyDescent="0.25">
      <c r="B100" t="s">
        <v>8</v>
      </c>
      <c r="C100">
        <f>COUNTIF(Tablo414[Özellikler],Tablo414[[#This Row],[Özellikler]])</f>
        <v>81</v>
      </c>
    </row>
    <row r="101" spans="2:3" x14ac:dyDescent="0.25">
      <c r="B101" t="s">
        <v>8</v>
      </c>
      <c r="C101">
        <f>COUNTIF(Tablo414[Özellikler],Tablo414[[#This Row],[Özellikler]])</f>
        <v>81</v>
      </c>
    </row>
    <row r="102" spans="2:3" x14ac:dyDescent="0.25">
      <c r="B102" t="s">
        <v>8</v>
      </c>
      <c r="C102">
        <f>COUNTIF(Tablo414[Özellikler],Tablo414[[#This Row],[Özellikler]])</f>
        <v>81</v>
      </c>
    </row>
    <row r="103" spans="2:3" x14ac:dyDescent="0.25">
      <c r="B103" t="s">
        <v>8</v>
      </c>
      <c r="C103">
        <f>COUNTIF(Tablo414[Özellikler],Tablo414[[#This Row],[Özellikler]])</f>
        <v>81</v>
      </c>
    </row>
    <row r="104" spans="2:3" x14ac:dyDescent="0.25">
      <c r="B104" t="s">
        <v>8</v>
      </c>
      <c r="C104">
        <f>COUNTIF(Tablo414[Özellikler],Tablo414[[#This Row],[Özellikler]])</f>
        <v>81</v>
      </c>
    </row>
    <row r="105" spans="2:3" x14ac:dyDescent="0.25">
      <c r="B105" t="s">
        <v>8</v>
      </c>
      <c r="C105">
        <f>COUNTIF(Tablo414[Özellikler],Tablo414[[#This Row],[Özellikler]])</f>
        <v>81</v>
      </c>
    </row>
    <row r="106" spans="2:3" x14ac:dyDescent="0.25">
      <c r="B106" t="s">
        <v>8</v>
      </c>
      <c r="C106">
        <f>COUNTIF(Tablo414[Özellikler],Tablo414[[#This Row],[Özellikler]])</f>
        <v>81</v>
      </c>
    </row>
    <row r="107" spans="2:3" x14ac:dyDescent="0.25">
      <c r="B107" t="s">
        <v>8</v>
      </c>
      <c r="C107">
        <f>COUNTIF(Tablo414[Özellikler],Tablo414[[#This Row],[Özellikler]])</f>
        <v>81</v>
      </c>
    </row>
    <row r="108" spans="2:3" x14ac:dyDescent="0.25">
      <c r="B108" t="s">
        <v>8</v>
      </c>
      <c r="C108">
        <f>COUNTIF(Tablo414[Özellikler],Tablo414[[#This Row],[Özellikler]])</f>
        <v>81</v>
      </c>
    </row>
    <row r="109" spans="2:3" x14ac:dyDescent="0.25">
      <c r="B109" t="s">
        <v>8</v>
      </c>
      <c r="C109">
        <f>COUNTIF(Tablo414[Özellikler],Tablo414[[#This Row],[Özellikler]])</f>
        <v>81</v>
      </c>
    </row>
    <row r="110" spans="2:3" x14ac:dyDescent="0.25">
      <c r="B110" t="s">
        <v>8</v>
      </c>
      <c r="C110">
        <f>COUNTIF(Tablo414[Özellikler],Tablo414[[#This Row],[Özellikler]])</f>
        <v>81</v>
      </c>
    </row>
    <row r="111" spans="2:3" x14ac:dyDescent="0.25">
      <c r="B111" t="s">
        <v>8</v>
      </c>
      <c r="C111">
        <f>COUNTIF(Tablo414[Özellikler],Tablo414[[#This Row],[Özellikler]])</f>
        <v>81</v>
      </c>
    </row>
    <row r="112" spans="2:3" x14ac:dyDescent="0.25">
      <c r="B112" t="s">
        <v>8</v>
      </c>
      <c r="C112">
        <f>COUNTIF(Tablo414[Özellikler],Tablo414[[#This Row],[Özellikler]])</f>
        <v>81</v>
      </c>
    </row>
    <row r="113" spans="2:3" x14ac:dyDescent="0.25">
      <c r="B113" t="s">
        <v>8</v>
      </c>
      <c r="C113">
        <f>COUNTIF(Tablo414[Özellikler],Tablo414[[#This Row],[Özellikler]])</f>
        <v>81</v>
      </c>
    </row>
    <row r="114" spans="2:3" x14ac:dyDescent="0.25">
      <c r="B114" t="s">
        <v>8</v>
      </c>
      <c r="C114">
        <f>COUNTIF(Tablo414[Özellikler],Tablo414[[#This Row],[Özellikler]])</f>
        <v>81</v>
      </c>
    </row>
    <row r="115" spans="2:3" x14ac:dyDescent="0.25">
      <c r="B115" t="s">
        <v>8</v>
      </c>
      <c r="C115">
        <f>COUNTIF(Tablo414[Özellikler],Tablo414[[#This Row],[Özellikler]])</f>
        <v>81</v>
      </c>
    </row>
    <row r="116" spans="2:3" x14ac:dyDescent="0.25">
      <c r="B116" t="s">
        <v>8</v>
      </c>
      <c r="C116">
        <f>COUNTIF(Tablo414[Özellikler],Tablo414[[#This Row],[Özellikler]])</f>
        <v>81</v>
      </c>
    </row>
    <row r="117" spans="2:3" x14ac:dyDescent="0.25">
      <c r="B117" t="s">
        <v>8</v>
      </c>
      <c r="C117">
        <f>COUNTIF(Tablo414[Özellikler],Tablo414[[#This Row],[Özellikler]])</f>
        <v>81</v>
      </c>
    </row>
    <row r="118" spans="2:3" x14ac:dyDescent="0.25">
      <c r="B118" t="s">
        <v>8</v>
      </c>
      <c r="C118">
        <f>COUNTIF(Tablo414[Özellikler],Tablo414[[#This Row],[Özellikler]])</f>
        <v>81</v>
      </c>
    </row>
    <row r="119" spans="2:3" x14ac:dyDescent="0.25">
      <c r="B119" t="s">
        <v>8</v>
      </c>
      <c r="C119">
        <f>COUNTIF(Tablo414[Özellikler],Tablo414[[#This Row],[Özellikler]])</f>
        <v>81</v>
      </c>
    </row>
    <row r="120" spans="2:3" x14ac:dyDescent="0.25">
      <c r="B120" t="s">
        <v>8</v>
      </c>
      <c r="C120">
        <f>COUNTIF(Tablo414[Özellikler],Tablo414[[#This Row],[Özellikler]])</f>
        <v>81</v>
      </c>
    </row>
    <row r="121" spans="2:3" x14ac:dyDescent="0.25">
      <c r="B121" t="s">
        <v>8</v>
      </c>
      <c r="C121">
        <f>COUNTIF(Tablo414[Özellikler],Tablo414[[#This Row],[Özellikler]])</f>
        <v>81</v>
      </c>
    </row>
    <row r="122" spans="2:3" x14ac:dyDescent="0.25">
      <c r="B122" t="s">
        <v>8</v>
      </c>
      <c r="C122">
        <f>COUNTIF(Tablo414[Özellikler],Tablo414[[#This Row],[Özellikler]])</f>
        <v>81</v>
      </c>
    </row>
    <row r="123" spans="2:3" x14ac:dyDescent="0.25">
      <c r="B123" t="s">
        <v>8</v>
      </c>
      <c r="C123">
        <f>COUNTIF(Tablo414[Özellikler],Tablo414[[#This Row],[Özellikler]])</f>
        <v>81</v>
      </c>
    </row>
    <row r="124" spans="2:3" x14ac:dyDescent="0.25">
      <c r="B124" t="s">
        <v>8</v>
      </c>
      <c r="C124">
        <f>COUNTIF(Tablo414[Özellikler],Tablo414[[#This Row],[Özellikler]])</f>
        <v>81</v>
      </c>
    </row>
    <row r="125" spans="2:3" x14ac:dyDescent="0.25">
      <c r="B125" t="s">
        <v>8</v>
      </c>
      <c r="C125">
        <f>COUNTIF(Tablo414[Özellikler],Tablo414[[#This Row],[Özellikler]])</f>
        <v>81</v>
      </c>
    </row>
    <row r="126" spans="2:3" x14ac:dyDescent="0.25">
      <c r="B126" t="s">
        <v>8</v>
      </c>
      <c r="C126">
        <f>COUNTIF(Tablo414[Özellikler],Tablo414[[#This Row],[Özellikler]])</f>
        <v>81</v>
      </c>
    </row>
    <row r="127" spans="2:3" x14ac:dyDescent="0.25">
      <c r="B127" t="s">
        <v>8</v>
      </c>
      <c r="C127">
        <f>COUNTIF(Tablo414[Özellikler],Tablo414[[#This Row],[Özellikler]])</f>
        <v>81</v>
      </c>
    </row>
    <row r="128" spans="2:3" x14ac:dyDescent="0.25">
      <c r="B128" t="s">
        <v>8</v>
      </c>
      <c r="C128">
        <f>COUNTIF(Tablo414[Özellikler],Tablo414[[#This Row],[Özellikler]])</f>
        <v>81</v>
      </c>
    </row>
    <row r="129" spans="2:3" x14ac:dyDescent="0.25">
      <c r="B129" t="s">
        <v>8</v>
      </c>
      <c r="C129">
        <f>COUNTIF(Tablo414[Özellikler],Tablo414[[#This Row],[Özellikler]])</f>
        <v>81</v>
      </c>
    </row>
    <row r="130" spans="2:3" x14ac:dyDescent="0.25">
      <c r="B130" t="s">
        <v>8</v>
      </c>
      <c r="C130">
        <f>COUNTIF(Tablo414[Özellikler],Tablo414[[#This Row],[Özellikler]])</f>
        <v>81</v>
      </c>
    </row>
    <row r="131" spans="2:3" x14ac:dyDescent="0.25">
      <c r="B131" t="s">
        <v>8</v>
      </c>
      <c r="C131">
        <f>COUNTIF(Tablo414[Özellikler],Tablo414[[#This Row],[Özellikler]])</f>
        <v>81</v>
      </c>
    </row>
    <row r="132" spans="2:3" x14ac:dyDescent="0.25">
      <c r="B132" t="s">
        <v>8</v>
      </c>
      <c r="C132">
        <f>COUNTIF(Tablo414[Özellikler],Tablo414[[#This Row],[Özellikler]])</f>
        <v>81</v>
      </c>
    </row>
    <row r="133" spans="2:3" x14ac:dyDescent="0.25">
      <c r="B133" t="s">
        <v>8</v>
      </c>
      <c r="C133">
        <f>COUNTIF(Tablo414[Özellikler],Tablo414[[#This Row],[Özellikler]])</f>
        <v>81</v>
      </c>
    </row>
    <row r="134" spans="2:3" x14ac:dyDescent="0.25">
      <c r="B134" t="s">
        <v>8</v>
      </c>
      <c r="C134">
        <f>COUNTIF(Tablo414[Özellikler],Tablo414[[#This Row],[Özellikler]])</f>
        <v>81</v>
      </c>
    </row>
    <row r="135" spans="2:3" x14ac:dyDescent="0.25">
      <c r="B135" t="s">
        <v>8</v>
      </c>
      <c r="C135">
        <f>COUNTIF(Tablo414[Özellikler],Tablo414[[#This Row],[Özellikler]])</f>
        <v>81</v>
      </c>
    </row>
    <row r="136" spans="2:3" x14ac:dyDescent="0.25">
      <c r="B136" t="s">
        <v>8</v>
      </c>
      <c r="C136">
        <f>COUNTIF(Tablo414[Özellikler],Tablo414[[#This Row],[Özellikler]])</f>
        <v>81</v>
      </c>
    </row>
    <row r="137" spans="2:3" x14ac:dyDescent="0.25">
      <c r="B137" t="s">
        <v>8</v>
      </c>
      <c r="C137">
        <f>COUNTIF(Tablo414[Özellikler],Tablo414[[#This Row],[Özellikler]])</f>
        <v>81</v>
      </c>
    </row>
  </sheetData>
  <mergeCells count="4">
    <mergeCell ref="A2:G2"/>
    <mergeCell ref="H2:N2"/>
    <mergeCell ref="A51:G51"/>
    <mergeCell ref="O2:U2"/>
  </mergeCells>
  <pageMargins left="0.7" right="0.7" top="0.75" bottom="0.75" header="0.3" footer="0.3"/>
  <pageSetup paperSize="9" orientation="portrait" r:id="rId5"/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B2:V32"/>
  <sheetViews>
    <sheetView zoomScaleNormal="100" zoomScaleSheetLayoutView="100" workbookViewId="0">
      <selection activeCell="S7" sqref="S7:S24"/>
    </sheetView>
  </sheetViews>
  <sheetFormatPr defaultRowHeight="15" x14ac:dyDescent="0.25"/>
  <cols>
    <col min="18" max="18" width="20.5703125" customWidth="1"/>
    <col min="19" max="19" width="8.85546875" customWidth="1"/>
    <col min="21" max="21" width="17.7109375" bestFit="1" customWidth="1"/>
    <col min="22" max="22" width="10.7109375" bestFit="1" customWidth="1"/>
  </cols>
  <sheetData>
    <row r="2" spans="2:22" x14ac:dyDescent="0.25">
      <c r="B2" s="23"/>
    </row>
    <row r="3" spans="2:22" x14ac:dyDescent="0.25">
      <c r="B3" s="23"/>
      <c r="N3" s="21" t="s">
        <v>18</v>
      </c>
      <c r="O3" s="22"/>
      <c r="P3" s="22"/>
    </row>
    <row r="4" spans="2:22" x14ac:dyDescent="0.25">
      <c r="B4" s="23"/>
      <c r="N4" s="22"/>
      <c r="O4" s="22"/>
      <c r="P4" s="22"/>
    </row>
    <row r="5" spans="2:22" x14ac:dyDescent="0.25">
      <c r="N5" s="22"/>
      <c r="O5" s="22"/>
      <c r="P5" s="22"/>
    </row>
    <row r="6" spans="2:22" x14ac:dyDescent="0.25">
      <c r="B6" s="20" t="s">
        <v>0</v>
      </c>
      <c r="C6" s="20"/>
      <c r="E6" s="20" t="s">
        <v>0</v>
      </c>
      <c r="F6" s="20"/>
      <c r="H6" s="20" t="s">
        <v>1</v>
      </c>
      <c r="I6" s="20"/>
      <c r="K6" s="20" t="s">
        <v>1</v>
      </c>
      <c r="L6" s="20"/>
      <c r="N6" s="22"/>
      <c r="O6" s="22"/>
      <c r="P6" s="22"/>
      <c r="R6" t="s">
        <v>13</v>
      </c>
      <c r="S6" t="s">
        <v>14</v>
      </c>
      <c r="U6" s="4" t="s">
        <v>13</v>
      </c>
      <c r="V6" t="s">
        <v>16</v>
      </c>
    </row>
    <row r="7" spans="2:22" x14ac:dyDescent="0.25">
      <c r="B7" s="20"/>
      <c r="C7" s="20"/>
      <c r="E7" s="20"/>
      <c r="F7" s="20"/>
      <c r="H7" s="20"/>
      <c r="I7" s="20"/>
      <c r="K7" s="20"/>
      <c r="L7" s="20"/>
      <c r="R7" t="s">
        <v>0</v>
      </c>
      <c r="S7">
        <f>COUNTIF(Tablo1[Özellikler],Tablo1[[#This Row],[Özellikler]])</f>
        <v>8</v>
      </c>
      <c r="U7" s="5" t="s">
        <v>2</v>
      </c>
      <c r="V7" s="37">
        <v>1</v>
      </c>
    </row>
    <row r="8" spans="2:22" x14ac:dyDescent="0.25">
      <c r="B8" s="20"/>
      <c r="C8" s="20"/>
      <c r="E8" s="20"/>
      <c r="F8" s="20"/>
      <c r="H8" s="20"/>
      <c r="I8" s="20"/>
      <c r="K8" s="20"/>
      <c r="L8" s="20"/>
      <c r="R8" t="s">
        <v>0</v>
      </c>
      <c r="S8">
        <f>COUNTIF(Tablo1[Özellikler],Tablo1[[#This Row],[Özellikler]])</f>
        <v>8</v>
      </c>
      <c r="U8" s="5" t="s">
        <v>0</v>
      </c>
      <c r="V8" s="37">
        <v>8</v>
      </c>
    </row>
    <row r="9" spans="2:22" x14ac:dyDescent="0.25">
      <c r="R9" t="s">
        <v>0</v>
      </c>
      <c r="S9">
        <f>COUNTIF(Tablo1[Özellikler],Tablo1[[#This Row],[Özellikler]])</f>
        <v>8</v>
      </c>
      <c r="U9" s="5" t="s">
        <v>1</v>
      </c>
      <c r="V9" s="37">
        <v>9</v>
      </c>
    </row>
    <row r="10" spans="2:22" x14ac:dyDescent="0.25">
      <c r="R10" t="s">
        <v>0</v>
      </c>
      <c r="S10">
        <f>COUNTIF(Tablo1[Özellikler],Tablo1[[#This Row],[Özellikler]])</f>
        <v>8</v>
      </c>
      <c r="U10" s="5" t="s">
        <v>15</v>
      </c>
      <c r="V10" s="37">
        <v>18</v>
      </c>
    </row>
    <row r="11" spans="2:22" x14ac:dyDescent="0.25">
      <c r="R11" t="s">
        <v>0</v>
      </c>
      <c r="S11">
        <f>COUNTIF(Tablo1[Özellikler],Tablo1[[#This Row],[Özellikler]])</f>
        <v>8</v>
      </c>
    </row>
    <row r="12" spans="2:22" x14ac:dyDescent="0.25">
      <c r="B12" s="24" t="s">
        <v>0</v>
      </c>
      <c r="C12" s="25"/>
      <c r="E12" s="14" t="s">
        <v>0</v>
      </c>
      <c r="F12" s="15"/>
      <c r="H12" s="14" t="s">
        <v>1</v>
      </c>
      <c r="I12" s="15"/>
      <c r="K12" s="14" t="s">
        <v>1</v>
      </c>
      <c r="L12" s="15"/>
      <c r="R12" t="s">
        <v>0</v>
      </c>
      <c r="S12">
        <f>COUNTIF(Tablo1[Özellikler],Tablo1[[#This Row],[Özellikler]])</f>
        <v>8</v>
      </c>
    </row>
    <row r="13" spans="2:22" x14ac:dyDescent="0.25">
      <c r="B13" s="26"/>
      <c r="C13" s="27"/>
      <c r="E13" s="16"/>
      <c r="F13" s="17"/>
      <c r="H13" s="16"/>
      <c r="I13" s="17"/>
      <c r="K13" s="16"/>
      <c r="L13" s="17"/>
      <c r="R13" t="s">
        <v>0</v>
      </c>
      <c r="S13">
        <f>COUNTIF(Tablo1[Özellikler],Tablo1[[#This Row],[Özellikler]])</f>
        <v>8</v>
      </c>
    </row>
    <row r="14" spans="2:22" x14ac:dyDescent="0.25">
      <c r="B14" s="28"/>
      <c r="C14" s="29"/>
      <c r="E14" s="18"/>
      <c r="F14" s="19"/>
      <c r="H14" s="18"/>
      <c r="I14" s="19"/>
      <c r="K14" s="18"/>
      <c r="L14" s="19"/>
      <c r="R14" t="s">
        <v>0</v>
      </c>
      <c r="S14">
        <f>COUNTIF(Tablo1[Özellikler],Tablo1[[#This Row],[Özellikler]])</f>
        <v>8</v>
      </c>
    </row>
    <row r="15" spans="2:22" x14ac:dyDescent="0.25">
      <c r="L15" s="1"/>
      <c r="R15" t="s">
        <v>1</v>
      </c>
      <c r="S15">
        <f>COUNTIF(Tablo1[Özellikler],Tablo1[[#This Row],[Özellikler]])</f>
        <v>9</v>
      </c>
    </row>
    <row r="16" spans="2:22" x14ac:dyDescent="0.25">
      <c r="R16" t="s">
        <v>1</v>
      </c>
      <c r="S16">
        <f>COUNTIF(Tablo1[Özellikler],Tablo1[[#This Row],[Özellikler]])</f>
        <v>9</v>
      </c>
    </row>
    <row r="17" spans="2:19" x14ac:dyDescent="0.25">
      <c r="R17" t="s">
        <v>1</v>
      </c>
      <c r="S17">
        <f>COUNTIF(Tablo1[Özellikler],Tablo1[[#This Row],[Özellikler]])</f>
        <v>9</v>
      </c>
    </row>
    <row r="18" spans="2:19" x14ac:dyDescent="0.25">
      <c r="B18" s="14" t="s">
        <v>0</v>
      </c>
      <c r="C18" s="15"/>
      <c r="E18" s="14" t="s">
        <v>0</v>
      </c>
      <c r="F18" s="15"/>
      <c r="H18" s="14" t="s">
        <v>1</v>
      </c>
      <c r="I18" s="15"/>
      <c r="K18" s="14" t="s">
        <v>2</v>
      </c>
      <c r="L18" s="15"/>
      <c r="R18" t="s">
        <v>1</v>
      </c>
      <c r="S18">
        <f>COUNTIF(Tablo1[Özellikler],Tablo1[[#This Row],[Özellikler]])</f>
        <v>9</v>
      </c>
    </row>
    <row r="19" spans="2:19" x14ac:dyDescent="0.25">
      <c r="B19" s="16"/>
      <c r="C19" s="17"/>
      <c r="E19" s="16"/>
      <c r="F19" s="17"/>
      <c r="H19" s="16"/>
      <c r="I19" s="17"/>
      <c r="K19" s="16"/>
      <c r="L19" s="17"/>
      <c r="R19" t="s">
        <v>1</v>
      </c>
      <c r="S19">
        <f>COUNTIF(Tablo1[Özellikler],Tablo1[[#This Row],[Özellikler]])</f>
        <v>9</v>
      </c>
    </row>
    <row r="20" spans="2:19" x14ac:dyDescent="0.25">
      <c r="B20" s="18"/>
      <c r="C20" s="19"/>
      <c r="E20" s="18"/>
      <c r="F20" s="19"/>
      <c r="H20" s="18"/>
      <c r="I20" s="19"/>
      <c r="K20" s="18"/>
      <c r="L20" s="19"/>
      <c r="R20" t="s">
        <v>1</v>
      </c>
      <c r="S20">
        <f>COUNTIF(Tablo1[Özellikler],Tablo1[[#This Row],[Özellikler]])</f>
        <v>9</v>
      </c>
    </row>
    <row r="21" spans="2:19" x14ac:dyDescent="0.25">
      <c r="R21" t="s">
        <v>2</v>
      </c>
      <c r="S21">
        <f>COUNTIF(Tablo1[Özellikler],Tablo1[[#This Row],[Özellikler]])</f>
        <v>1</v>
      </c>
    </row>
    <row r="22" spans="2:19" x14ac:dyDescent="0.25">
      <c r="R22" t="s">
        <v>1</v>
      </c>
      <c r="S22">
        <f>COUNTIF(Tablo1[Özellikler],Tablo1[[#This Row],[Özellikler]])</f>
        <v>9</v>
      </c>
    </row>
    <row r="23" spans="2:19" x14ac:dyDescent="0.25">
      <c r="R23" t="s">
        <v>1</v>
      </c>
      <c r="S23">
        <f>COUNTIF(Tablo1[Özellikler],Tablo1[[#This Row],[Özellikler]])</f>
        <v>9</v>
      </c>
    </row>
    <row r="24" spans="2:19" x14ac:dyDescent="0.25">
      <c r="B24" s="14" t="s">
        <v>0</v>
      </c>
      <c r="C24" s="15"/>
      <c r="E24" s="14" t="s">
        <v>0</v>
      </c>
      <c r="F24" s="15"/>
      <c r="H24" s="14" t="s">
        <v>1</v>
      </c>
      <c r="I24" s="15"/>
      <c r="K24" s="14" t="s">
        <v>1</v>
      </c>
      <c r="L24" s="15"/>
      <c r="R24" t="s">
        <v>1</v>
      </c>
      <c r="S24">
        <f>COUNTIF(Tablo1[Özellikler],Tablo1[[#This Row],[Özellikler]])</f>
        <v>9</v>
      </c>
    </row>
    <row r="25" spans="2:19" x14ac:dyDescent="0.25">
      <c r="B25" s="16"/>
      <c r="C25" s="17"/>
      <c r="E25" s="16"/>
      <c r="F25" s="17"/>
      <c r="H25" s="16"/>
      <c r="I25" s="17"/>
      <c r="K25" s="16"/>
      <c r="L25" s="17"/>
    </row>
    <row r="26" spans="2:19" x14ac:dyDescent="0.25">
      <c r="B26" s="18"/>
      <c r="C26" s="19"/>
      <c r="E26" s="18"/>
      <c r="F26" s="19"/>
      <c r="H26" s="18"/>
      <c r="I26" s="19"/>
      <c r="K26" s="18"/>
      <c r="L26" s="19"/>
    </row>
    <row r="30" spans="2:19" x14ac:dyDescent="0.25">
      <c r="H30" s="8" t="s">
        <v>1</v>
      </c>
      <c r="I30" s="9"/>
      <c r="K30" s="8" t="s">
        <v>1</v>
      </c>
      <c r="L30" s="9"/>
    </row>
    <row r="31" spans="2:19" x14ac:dyDescent="0.25">
      <c r="H31" s="10"/>
      <c r="I31" s="11"/>
      <c r="K31" s="10"/>
      <c r="L31" s="11"/>
    </row>
    <row r="32" spans="2:19" x14ac:dyDescent="0.25">
      <c r="H32" s="12"/>
      <c r="I32" s="13"/>
      <c r="K32" s="12"/>
      <c r="L32" s="13"/>
    </row>
  </sheetData>
  <mergeCells count="20">
    <mergeCell ref="H12:I14"/>
    <mergeCell ref="K12:L14"/>
    <mergeCell ref="B6:C8"/>
    <mergeCell ref="N3:P6"/>
    <mergeCell ref="E6:F8"/>
    <mergeCell ref="H6:I8"/>
    <mergeCell ref="K6:L8"/>
    <mergeCell ref="B2:B4"/>
    <mergeCell ref="B12:C14"/>
    <mergeCell ref="E12:F14"/>
    <mergeCell ref="H30:I32"/>
    <mergeCell ref="K30:L32"/>
    <mergeCell ref="H24:I26"/>
    <mergeCell ref="K24:L26"/>
    <mergeCell ref="B18:C20"/>
    <mergeCell ref="E18:F20"/>
    <mergeCell ref="H18:I20"/>
    <mergeCell ref="K18:L20"/>
    <mergeCell ref="B24:C26"/>
    <mergeCell ref="E24:F26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39" pageOrder="overThenDown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2"/>
  <dimension ref="B1:X33"/>
  <sheetViews>
    <sheetView zoomScale="110" zoomScaleNormal="110" workbookViewId="0">
      <selection activeCell="U7" sqref="U7:U33"/>
    </sheetView>
  </sheetViews>
  <sheetFormatPr defaultRowHeight="15" x14ac:dyDescent="0.25"/>
  <cols>
    <col min="4" max="4" width="9.140625" customWidth="1"/>
    <col min="20" max="20" width="20.5703125" customWidth="1"/>
    <col min="23" max="23" width="16.7109375" bestFit="1" customWidth="1"/>
    <col min="24" max="24" width="10.7109375" bestFit="1" customWidth="1"/>
    <col min="25" max="25" width="11.28515625" customWidth="1"/>
  </cols>
  <sheetData>
    <row r="1" spans="2:24" ht="15" customHeight="1" x14ac:dyDescent="0.25">
      <c r="O1" s="30" t="s">
        <v>17</v>
      </c>
      <c r="P1" s="30"/>
      <c r="Q1" s="30"/>
    </row>
    <row r="2" spans="2:24" ht="15" customHeight="1" x14ac:dyDescent="0.25">
      <c r="B2" s="23"/>
      <c r="O2" s="30"/>
      <c r="P2" s="30"/>
      <c r="Q2" s="30"/>
    </row>
    <row r="3" spans="2:24" x14ac:dyDescent="0.25">
      <c r="B3" s="23"/>
      <c r="O3" s="30"/>
      <c r="P3" s="30"/>
      <c r="Q3" s="30"/>
    </row>
    <row r="4" spans="2:24" x14ac:dyDescent="0.25">
      <c r="B4" s="23"/>
      <c r="O4" s="30"/>
      <c r="P4" s="30"/>
      <c r="Q4" s="30"/>
    </row>
    <row r="5" spans="2:24" x14ac:dyDescent="0.25">
      <c r="O5" s="6"/>
      <c r="P5" s="6"/>
      <c r="Q5" s="6"/>
    </row>
    <row r="6" spans="2:24" x14ac:dyDescent="0.25">
      <c r="B6" s="20" t="s">
        <v>4</v>
      </c>
      <c r="C6" s="20"/>
      <c r="E6" s="20" t="s">
        <v>3</v>
      </c>
      <c r="F6" s="20"/>
      <c r="H6" s="20" t="s">
        <v>4</v>
      </c>
      <c r="I6" s="20"/>
      <c r="J6" s="1"/>
      <c r="K6" s="20" t="s">
        <v>3</v>
      </c>
      <c r="L6" s="20"/>
      <c r="N6" s="20" t="s">
        <v>3</v>
      </c>
      <c r="O6" s="20"/>
      <c r="Q6" s="20" t="s">
        <v>3</v>
      </c>
      <c r="R6" s="20"/>
      <c r="T6" t="s">
        <v>13</v>
      </c>
      <c r="U6" t="s">
        <v>14</v>
      </c>
      <c r="W6" s="4" t="s">
        <v>13</v>
      </c>
      <c r="X6" t="s">
        <v>16</v>
      </c>
    </row>
    <row r="7" spans="2:24" x14ac:dyDescent="0.25">
      <c r="B7" s="20"/>
      <c r="C7" s="20"/>
      <c r="E7" s="20"/>
      <c r="F7" s="20"/>
      <c r="H7" s="20"/>
      <c r="I7" s="20"/>
      <c r="J7" s="1"/>
      <c r="K7" s="20"/>
      <c r="L7" s="20"/>
      <c r="N7" s="20"/>
      <c r="O7" s="20"/>
      <c r="Q7" s="20"/>
      <c r="R7" s="20"/>
      <c r="T7" t="s">
        <v>4</v>
      </c>
      <c r="U7">
        <f>COUNTIF(Tablo3[Özellikler],Tablo3[[#This Row],[Özellikler]])</f>
        <v>5</v>
      </c>
      <c r="W7" s="5" t="s">
        <v>4</v>
      </c>
      <c r="X7" s="37">
        <v>5</v>
      </c>
    </row>
    <row r="8" spans="2:24" x14ac:dyDescent="0.25">
      <c r="B8" s="20"/>
      <c r="C8" s="20"/>
      <c r="E8" s="20"/>
      <c r="F8" s="20"/>
      <c r="H8" s="20"/>
      <c r="I8" s="20"/>
      <c r="J8" s="1"/>
      <c r="K8" s="20"/>
      <c r="L8" s="20"/>
      <c r="N8" s="20"/>
      <c r="O8" s="20"/>
      <c r="Q8" s="20"/>
      <c r="R8" s="20"/>
      <c r="T8" t="s">
        <v>3</v>
      </c>
      <c r="U8">
        <f>COUNTIF(Tablo3[Özellikler],Tablo3[[#This Row],[Özellikler]])</f>
        <v>18</v>
      </c>
      <c r="W8" s="5" t="s">
        <v>3</v>
      </c>
      <c r="X8" s="37">
        <v>18</v>
      </c>
    </row>
    <row r="9" spans="2:24" x14ac:dyDescent="0.25">
      <c r="T9" t="s">
        <v>3</v>
      </c>
      <c r="U9">
        <f>COUNTIF(Tablo3[Özellikler],Tablo3[[#This Row],[Özellikler]])</f>
        <v>18</v>
      </c>
      <c r="W9" s="5" t="s">
        <v>7</v>
      </c>
      <c r="X9" s="37">
        <v>1</v>
      </c>
    </row>
    <row r="10" spans="2:24" x14ac:dyDescent="0.25">
      <c r="T10" t="s">
        <v>7</v>
      </c>
      <c r="U10">
        <f>COUNTIF(Tablo3[Özellikler],Tablo3[[#This Row],[Özellikler]])</f>
        <v>1</v>
      </c>
      <c r="W10" s="5" t="s">
        <v>6</v>
      </c>
      <c r="X10" s="37">
        <v>2</v>
      </c>
    </row>
    <row r="11" spans="2:24" x14ac:dyDescent="0.25">
      <c r="T11" t="s">
        <v>3</v>
      </c>
      <c r="U11">
        <f>COUNTIF(Tablo3[Özellikler],Tablo3[[#This Row],[Özellikler]])</f>
        <v>18</v>
      </c>
      <c r="W11" s="5" t="s">
        <v>5</v>
      </c>
      <c r="X11" s="37">
        <v>1</v>
      </c>
    </row>
    <row r="12" spans="2:24" x14ac:dyDescent="0.25">
      <c r="B12" s="24" t="s">
        <v>3</v>
      </c>
      <c r="C12" s="25"/>
      <c r="E12" s="14" t="s">
        <v>4</v>
      </c>
      <c r="F12" s="15"/>
      <c r="H12" s="20" t="s">
        <v>4</v>
      </c>
      <c r="I12" s="20"/>
      <c r="J12" s="1"/>
      <c r="K12" s="14" t="s">
        <v>3</v>
      </c>
      <c r="L12" s="15"/>
      <c r="N12" s="14" t="s">
        <v>3</v>
      </c>
      <c r="O12" s="15"/>
      <c r="Q12" s="20" t="s">
        <v>3</v>
      </c>
      <c r="R12" s="20"/>
      <c r="T12" t="s">
        <v>4</v>
      </c>
      <c r="U12">
        <f>COUNTIF(Tablo3[Özellikler],Tablo3[[#This Row],[Özellikler]])</f>
        <v>5</v>
      </c>
      <c r="W12" s="5" t="s">
        <v>15</v>
      </c>
      <c r="X12" s="37">
        <v>27</v>
      </c>
    </row>
    <row r="13" spans="2:24" x14ac:dyDescent="0.25">
      <c r="B13" s="26"/>
      <c r="C13" s="27"/>
      <c r="E13" s="16"/>
      <c r="F13" s="17"/>
      <c r="H13" s="20"/>
      <c r="I13" s="20"/>
      <c r="J13" s="1"/>
      <c r="K13" s="16"/>
      <c r="L13" s="17"/>
      <c r="N13" s="16"/>
      <c r="O13" s="17"/>
      <c r="Q13" s="20"/>
      <c r="R13" s="20"/>
      <c r="T13" t="s">
        <v>3</v>
      </c>
      <c r="U13">
        <f>COUNTIF(Tablo3[Özellikler],Tablo3[[#This Row],[Özellikler]])</f>
        <v>18</v>
      </c>
    </row>
    <row r="14" spans="2:24" x14ac:dyDescent="0.25">
      <c r="B14" s="28"/>
      <c r="C14" s="29"/>
      <c r="E14" s="18"/>
      <c r="F14" s="19"/>
      <c r="H14" s="20"/>
      <c r="I14" s="20"/>
      <c r="J14" s="1"/>
      <c r="K14" s="18"/>
      <c r="L14" s="19"/>
      <c r="N14" s="18"/>
      <c r="O14" s="19"/>
      <c r="Q14" s="20"/>
      <c r="R14" s="20"/>
      <c r="T14" t="s">
        <v>6</v>
      </c>
      <c r="U14">
        <f>COUNTIF(Tablo3[Özellikler],Tablo3[[#This Row],[Özellikler]])</f>
        <v>2</v>
      </c>
    </row>
    <row r="15" spans="2:24" x14ac:dyDescent="0.25">
      <c r="O15" s="1"/>
      <c r="T15" t="s">
        <v>4</v>
      </c>
      <c r="U15">
        <f>COUNTIF(Tablo3[Özellikler],Tablo3[[#This Row],[Özellikler]])</f>
        <v>5</v>
      </c>
    </row>
    <row r="16" spans="2:24" x14ac:dyDescent="0.25">
      <c r="T16" t="s">
        <v>4</v>
      </c>
      <c r="U16">
        <f>COUNTIF(Tablo3[Özellikler],Tablo3[[#This Row],[Özellikler]])</f>
        <v>5</v>
      </c>
    </row>
    <row r="17" spans="2:21" x14ac:dyDescent="0.25">
      <c r="T17" t="s">
        <v>5</v>
      </c>
      <c r="U17">
        <f>COUNTIF(Tablo3[Özellikler],Tablo3[[#This Row],[Özellikler]])</f>
        <v>1</v>
      </c>
    </row>
    <row r="18" spans="2:21" x14ac:dyDescent="0.25">
      <c r="B18" s="14" t="s">
        <v>3</v>
      </c>
      <c r="C18" s="15"/>
      <c r="E18" s="14" t="s">
        <v>3</v>
      </c>
      <c r="F18" s="15"/>
      <c r="H18" s="20" t="s">
        <v>5</v>
      </c>
      <c r="I18" s="20"/>
      <c r="J18" s="1"/>
      <c r="K18" s="14" t="s">
        <v>3</v>
      </c>
      <c r="L18" s="15"/>
      <c r="N18" s="14" t="s">
        <v>3</v>
      </c>
      <c r="O18" s="15"/>
      <c r="Q18" s="20" t="s">
        <v>3</v>
      </c>
      <c r="R18" s="20"/>
      <c r="T18" t="s">
        <v>6</v>
      </c>
      <c r="U18">
        <f>COUNTIF(Tablo3[Özellikler],Tablo3[[#This Row],[Özellikler]])</f>
        <v>2</v>
      </c>
    </row>
    <row r="19" spans="2:21" x14ac:dyDescent="0.25">
      <c r="B19" s="16"/>
      <c r="C19" s="17"/>
      <c r="E19" s="16"/>
      <c r="F19" s="17"/>
      <c r="H19" s="20"/>
      <c r="I19" s="20"/>
      <c r="J19" s="1"/>
      <c r="K19" s="16"/>
      <c r="L19" s="17"/>
      <c r="N19" s="16"/>
      <c r="O19" s="17"/>
      <c r="Q19" s="20"/>
      <c r="R19" s="20"/>
      <c r="T19" t="s">
        <v>3</v>
      </c>
      <c r="U19">
        <f>COUNTIF(Tablo3[Özellikler],Tablo3[[#This Row],[Özellikler]])</f>
        <v>18</v>
      </c>
    </row>
    <row r="20" spans="2:21" x14ac:dyDescent="0.25">
      <c r="B20" s="18"/>
      <c r="C20" s="19"/>
      <c r="E20" s="18"/>
      <c r="F20" s="19"/>
      <c r="H20" s="20"/>
      <c r="I20" s="20"/>
      <c r="J20" s="1"/>
      <c r="K20" s="18"/>
      <c r="L20" s="19"/>
      <c r="N20" s="18"/>
      <c r="O20" s="19"/>
      <c r="Q20" s="20"/>
      <c r="R20" s="20"/>
      <c r="T20" t="s">
        <v>3</v>
      </c>
      <c r="U20">
        <f>COUNTIF(Tablo3[Özellikler],Tablo3[[#This Row],[Özellikler]])</f>
        <v>18</v>
      </c>
    </row>
    <row r="21" spans="2:21" x14ac:dyDescent="0.25">
      <c r="T21" t="s">
        <v>3</v>
      </c>
      <c r="U21">
        <f>COUNTIF(Tablo3[Özellikler],Tablo3[[#This Row],[Özellikler]])</f>
        <v>18</v>
      </c>
    </row>
    <row r="22" spans="2:21" x14ac:dyDescent="0.25">
      <c r="T22" t="s">
        <v>3</v>
      </c>
      <c r="U22">
        <f>COUNTIF(Tablo3[Özellikler],Tablo3[[#This Row],[Özellikler]])</f>
        <v>18</v>
      </c>
    </row>
    <row r="23" spans="2:21" x14ac:dyDescent="0.25">
      <c r="T23" t="s">
        <v>3</v>
      </c>
      <c r="U23">
        <f>COUNTIF(Tablo3[Özellikler],Tablo3[[#This Row],[Özellikler]])</f>
        <v>18</v>
      </c>
    </row>
    <row r="24" spans="2:21" x14ac:dyDescent="0.25">
      <c r="B24" s="14" t="s">
        <v>7</v>
      </c>
      <c r="C24" s="15"/>
      <c r="E24" s="14" t="s">
        <v>6</v>
      </c>
      <c r="F24" s="15"/>
      <c r="H24" s="20" t="s">
        <v>6</v>
      </c>
      <c r="I24" s="20"/>
      <c r="J24" s="1"/>
      <c r="K24" s="14" t="s">
        <v>3</v>
      </c>
      <c r="L24" s="15"/>
      <c r="N24" s="14" t="s">
        <v>3</v>
      </c>
      <c r="O24" s="15"/>
      <c r="Q24" s="20" t="s">
        <v>3</v>
      </c>
      <c r="R24" s="20"/>
      <c r="T24" t="s">
        <v>3</v>
      </c>
      <c r="U24">
        <f>COUNTIF(Tablo3[Özellikler],Tablo3[[#This Row],[Özellikler]])</f>
        <v>18</v>
      </c>
    </row>
    <row r="25" spans="2:21" x14ac:dyDescent="0.25">
      <c r="B25" s="16"/>
      <c r="C25" s="17"/>
      <c r="E25" s="16"/>
      <c r="F25" s="17"/>
      <c r="H25" s="20"/>
      <c r="I25" s="20"/>
      <c r="J25" s="1"/>
      <c r="K25" s="16"/>
      <c r="L25" s="17"/>
      <c r="N25" s="16"/>
      <c r="O25" s="17"/>
      <c r="Q25" s="20"/>
      <c r="R25" s="20"/>
      <c r="T25" t="s">
        <v>3</v>
      </c>
      <c r="U25">
        <f>COUNTIF(Tablo3[Özellikler],Tablo3[[#This Row],[Özellikler]])</f>
        <v>18</v>
      </c>
    </row>
    <row r="26" spans="2:21" x14ac:dyDescent="0.25">
      <c r="B26" s="18"/>
      <c r="C26" s="19"/>
      <c r="E26" s="18"/>
      <c r="F26" s="19"/>
      <c r="H26" s="20"/>
      <c r="I26" s="20"/>
      <c r="J26" s="1"/>
      <c r="K26" s="18"/>
      <c r="L26" s="19"/>
      <c r="N26" s="18"/>
      <c r="O26" s="19"/>
      <c r="Q26" s="20"/>
      <c r="R26" s="20"/>
      <c r="T26" t="s">
        <v>3</v>
      </c>
      <c r="U26">
        <f>COUNTIF(Tablo3[Özellikler],Tablo3[[#This Row],[Özellikler]])</f>
        <v>18</v>
      </c>
    </row>
    <row r="27" spans="2:21" x14ac:dyDescent="0.25">
      <c r="T27" t="s">
        <v>3</v>
      </c>
      <c r="U27">
        <f>COUNTIF(Tablo3[Özellikler],Tablo3[[#This Row],[Özellikler]])</f>
        <v>18</v>
      </c>
    </row>
    <row r="28" spans="2:21" x14ac:dyDescent="0.25">
      <c r="T28" t="s">
        <v>3</v>
      </c>
      <c r="U28">
        <f>COUNTIF(Tablo3[Özellikler],Tablo3[[#This Row],[Özellikler]])</f>
        <v>18</v>
      </c>
    </row>
    <row r="29" spans="2:21" x14ac:dyDescent="0.25">
      <c r="T29" t="s">
        <v>3</v>
      </c>
      <c r="U29">
        <f>COUNTIF(Tablo3[Özellikler],Tablo3[[#This Row],[Özellikler]])</f>
        <v>18</v>
      </c>
    </row>
    <row r="30" spans="2:21" ht="15" customHeight="1" x14ac:dyDescent="0.25">
      <c r="K30" s="8" t="s">
        <v>3</v>
      </c>
      <c r="L30" s="9"/>
      <c r="N30" s="8" t="s">
        <v>4</v>
      </c>
      <c r="O30" s="9"/>
      <c r="Q30" s="8" t="s">
        <v>3</v>
      </c>
      <c r="R30" s="9"/>
      <c r="T30" t="s">
        <v>3</v>
      </c>
      <c r="U30">
        <f>COUNTIF(Tablo3[Özellikler],Tablo3[[#This Row],[Özellikler]])</f>
        <v>18</v>
      </c>
    </row>
    <row r="31" spans="2:21" x14ac:dyDescent="0.25">
      <c r="K31" s="10"/>
      <c r="L31" s="11"/>
      <c r="N31" s="10"/>
      <c r="O31" s="11"/>
      <c r="Q31" s="10"/>
      <c r="R31" s="11"/>
      <c r="T31" t="s">
        <v>3</v>
      </c>
      <c r="U31">
        <f>COUNTIF(Tablo3[Özellikler],Tablo3[[#This Row],[Özellikler]])</f>
        <v>18</v>
      </c>
    </row>
    <row r="32" spans="2:21" x14ac:dyDescent="0.25">
      <c r="K32" s="12"/>
      <c r="L32" s="13"/>
      <c r="N32" s="12"/>
      <c r="O32" s="13"/>
      <c r="Q32" s="12"/>
      <c r="R32" s="13"/>
      <c r="T32" t="s">
        <v>4</v>
      </c>
      <c r="U32">
        <f>COUNTIF(Tablo3[Özellikler],Tablo3[[#This Row],[Özellikler]])</f>
        <v>5</v>
      </c>
    </row>
    <row r="33" spans="20:21" x14ac:dyDescent="0.25">
      <c r="T33" t="s">
        <v>3</v>
      </c>
      <c r="U33">
        <f>COUNTIF(Tablo3[Özellikler],Tablo3[[#This Row],[Özellikler]])</f>
        <v>18</v>
      </c>
    </row>
  </sheetData>
  <mergeCells count="29">
    <mergeCell ref="Q30:R32"/>
    <mergeCell ref="K30:L32"/>
    <mergeCell ref="N30:O32"/>
    <mergeCell ref="H6:I8"/>
    <mergeCell ref="Q6:R8"/>
    <mergeCell ref="H12:I14"/>
    <mergeCell ref="Q12:R14"/>
    <mergeCell ref="Q18:R20"/>
    <mergeCell ref="H18:I20"/>
    <mergeCell ref="H24:I26"/>
    <mergeCell ref="Q24:R26"/>
    <mergeCell ref="B18:C20"/>
    <mergeCell ref="E18:F20"/>
    <mergeCell ref="K18:L20"/>
    <mergeCell ref="N18:O20"/>
    <mergeCell ref="B24:C26"/>
    <mergeCell ref="E24:F26"/>
    <mergeCell ref="K24:L26"/>
    <mergeCell ref="N24:O26"/>
    <mergeCell ref="B12:C14"/>
    <mergeCell ref="E12:F14"/>
    <mergeCell ref="K12:L14"/>
    <mergeCell ref="N12:O14"/>
    <mergeCell ref="B2:B4"/>
    <mergeCell ref="B6:C8"/>
    <mergeCell ref="E6:F8"/>
    <mergeCell ref="K6:L8"/>
    <mergeCell ref="N6:O8"/>
    <mergeCell ref="O1:Q4"/>
  </mergeCells>
  <phoneticPr fontId="1" type="noConversion"/>
  <pageMargins left="0.7" right="0.7" top="0.75" bottom="0.75" header="0.3" footer="0.3"/>
  <pageSetup paperSize="9" fitToWidth="0" fitToHeight="0" orientation="landscape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B1:Y90"/>
  <sheetViews>
    <sheetView zoomScaleNormal="100" workbookViewId="0">
      <selection activeCell="V7" sqref="V7:V90"/>
    </sheetView>
  </sheetViews>
  <sheetFormatPr defaultRowHeight="15" x14ac:dyDescent="0.25"/>
  <cols>
    <col min="21" max="21" width="21.140625" customWidth="1"/>
    <col min="24" max="24" width="16.28515625" bestFit="1" customWidth="1"/>
    <col min="25" max="25" width="10.7109375" bestFit="1" customWidth="1"/>
  </cols>
  <sheetData>
    <row r="1" spans="2:25" x14ac:dyDescent="0.25">
      <c r="R1" s="21" t="s">
        <v>19</v>
      </c>
      <c r="S1" s="22"/>
      <c r="T1" s="22"/>
    </row>
    <row r="2" spans="2:25" x14ac:dyDescent="0.25">
      <c r="B2" s="23"/>
      <c r="R2" s="22"/>
      <c r="S2" s="22"/>
      <c r="T2" s="22"/>
    </row>
    <row r="3" spans="2:25" x14ac:dyDescent="0.25">
      <c r="B3" s="23"/>
      <c r="R3" s="22"/>
      <c r="S3" s="22"/>
      <c r="T3" s="22"/>
    </row>
    <row r="4" spans="2:25" x14ac:dyDescent="0.25">
      <c r="B4" s="23"/>
      <c r="C4" s="22" t="s">
        <v>10</v>
      </c>
      <c r="D4" s="22"/>
      <c r="E4" s="22"/>
      <c r="I4" s="22" t="s">
        <v>11</v>
      </c>
      <c r="J4" s="22"/>
      <c r="K4" s="22"/>
      <c r="O4" s="22" t="s">
        <v>12</v>
      </c>
      <c r="P4" s="22"/>
      <c r="Q4" s="22"/>
      <c r="R4" s="22"/>
      <c r="S4" s="22"/>
      <c r="T4" s="22"/>
    </row>
    <row r="6" spans="2:25" x14ac:dyDescent="0.25">
      <c r="B6" s="20" t="s">
        <v>8</v>
      </c>
      <c r="C6" s="20"/>
      <c r="E6" s="20" t="s">
        <v>8</v>
      </c>
      <c r="F6" s="20"/>
      <c r="H6" s="8" t="s">
        <v>8</v>
      </c>
      <c r="I6" s="9"/>
      <c r="K6" s="8" t="s">
        <v>8</v>
      </c>
      <c r="L6" s="9"/>
      <c r="N6" s="8" t="s">
        <v>8</v>
      </c>
      <c r="O6" s="9"/>
      <c r="Q6" s="8" t="s">
        <v>8</v>
      </c>
      <c r="R6" s="9"/>
      <c r="U6" t="s">
        <v>13</v>
      </c>
      <c r="V6" t="s">
        <v>14</v>
      </c>
      <c r="X6" s="4" t="s">
        <v>13</v>
      </c>
      <c r="Y6" t="s">
        <v>16</v>
      </c>
    </row>
    <row r="7" spans="2:25" x14ac:dyDescent="0.25">
      <c r="B7" s="20"/>
      <c r="C7" s="20"/>
      <c r="E7" s="20"/>
      <c r="F7" s="20"/>
      <c r="H7" s="10"/>
      <c r="I7" s="11"/>
      <c r="K7" s="10"/>
      <c r="L7" s="11"/>
      <c r="N7" s="10"/>
      <c r="O7" s="11"/>
      <c r="Q7" s="10"/>
      <c r="R7" s="11"/>
      <c r="U7" t="s">
        <v>8</v>
      </c>
      <c r="V7">
        <f>COUNTIF(Tablo4[Özellikler],Tablo4[[#This Row],[Özellikler]])</f>
        <v>81</v>
      </c>
      <c r="X7" s="5" t="s">
        <v>8</v>
      </c>
      <c r="Y7" s="37">
        <v>81</v>
      </c>
    </row>
    <row r="8" spans="2:25" x14ac:dyDescent="0.25">
      <c r="B8" s="20"/>
      <c r="C8" s="20"/>
      <c r="E8" s="20"/>
      <c r="F8" s="20"/>
      <c r="H8" s="12"/>
      <c r="I8" s="13"/>
      <c r="K8" s="12"/>
      <c r="L8" s="13"/>
      <c r="N8" s="12"/>
      <c r="O8" s="13"/>
      <c r="Q8" s="12"/>
      <c r="R8" s="13"/>
      <c r="U8" t="s">
        <v>8</v>
      </c>
      <c r="V8">
        <f>COUNTIF(Tablo4[Özellikler],Tablo4[[#This Row],[Özellikler]])</f>
        <v>81</v>
      </c>
      <c r="X8" s="5" t="s">
        <v>7</v>
      </c>
      <c r="Y8" s="37">
        <v>1</v>
      </c>
    </row>
    <row r="9" spans="2:25" x14ac:dyDescent="0.25">
      <c r="U9" t="s">
        <v>8</v>
      </c>
      <c r="V9">
        <f>COUNTIF(Tablo4[Özellikler],Tablo4[[#This Row],[Özellikler]])</f>
        <v>81</v>
      </c>
      <c r="X9" s="5" t="s">
        <v>9</v>
      </c>
      <c r="Y9" s="37">
        <v>1</v>
      </c>
    </row>
    <row r="10" spans="2:25" x14ac:dyDescent="0.25">
      <c r="U10" t="s">
        <v>8</v>
      </c>
      <c r="V10">
        <f>COUNTIF(Tablo4[Özellikler],Tablo4[[#This Row],[Özellikler]])</f>
        <v>81</v>
      </c>
      <c r="X10" s="5" t="s">
        <v>6</v>
      </c>
      <c r="Y10" s="37">
        <v>1</v>
      </c>
    </row>
    <row r="11" spans="2:25" x14ac:dyDescent="0.25">
      <c r="U11" t="s">
        <v>8</v>
      </c>
      <c r="V11">
        <f>COUNTIF(Tablo4[Özellikler],Tablo4[[#This Row],[Özellikler]])</f>
        <v>81</v>
      </c>
      <c r="X11" s="5" t="s">
        <v>15</v>
      </c>
      <c r="Y11" s="37">
        <v>84</v>
      </c>
    </row>
    <row r="12" spans="2:25" ht="15" customHeight="1" x14ac:dyDescent="0.25">
      <c r="B12" s="24" t="s">
        <v>8</v>
      </c>
      <c r="C12" s="25"/>
      <c r="E12" s="14" t="s">
        <v>8</v>
      </c>
      <c r="F12" s="15"/>
      <c r="H12" s="31" t="s">
        <v>8</v>
      </c>
      <c r="I12" s="32"/>
      <c r="K12" s="8" t="s">
        <v>9</v>
      </c>
      <c r="L12" s="9"/>
      <c r="N12" s="31" t="s">
        <v>8</v>
      </c>
      <c r="O12" s="32"/>
      <c r="Q12" s="8" t="s">
        <v>8</v>
      </c>
      <c r="R12" s="9"/>
      <c r="U12" t="s">
        <v>8</v>
      </c>
      <c r="V12">
        <f>COUNTIF(Tablo4[Özellikler],Tablo4[[#This Row],[Özellikler]])</f>
        <v>81</v>
      </c>
    </row>
    <row r="13" spans="2:25" x14ac:dyDescent="0.25">
      <c r="B13" s="26"/>
      <c r="C13" s="27"/>
      <c r="E13" s="16"/>
      <c r="F13" s="17"/>
      <c r="H13" s="33"/>
      <c r="I13" s="34"/>
      <c r="K13" s="10"/>
      <c r="L13" s="11"/>
      <c r="N13" s="33"/>
      <c r="O13" s="34"/>
      <c r="Q13" s="10"/>
      <c r="R13" s="11"/>
      <c r="U13" t="s">
        <v>8</v>
      </c>
      <c r="V13">
        <f>COUNTIF(Tablo4[Özellikler],Tablo4[[#This Row],[Özellikler]])</f>
        <v>81</v>
      </c>
    </row>
    <row r="14" spans="2:25" x14ac:dyDescent="0.25">
      <c r="B14" s="28"/>
      <c r="C14" s="29"/>
      <c r="E14" s="18"/>
      <c r="F14" s="19"/>
      <c r="H14" s="35"/>
      <c r="I14" s="36"/>
      <c r="K14" s="12"/>
      <c r="L14" s="13"/>
      <c r="N14" s="35"/>
      <c r="O14" s="36"/>
      <c r="Q14" s="12"/>
      <c r="R14" s="13"/>
      <c r="U14" t="s">
        <v>8</v>
      </c>
      <c r="V14">
        <f>COUNTIF(Tablo4[Özellikler],Tablo4[[#This Row],[Özellikler]])</f>
        <v>81</v>
      </c>
    </row>
    <row r="15" spans="2:25" x14ac:dyDescent="0.25">
      <c r="U15" t="s">
        <v>8</v>
      </c>
      <c r="V15">
        <f>COUNTIF(Tablo4[Özellikler],Tablo4[[#This Row],[Özellikler]])</f>
        <v>81</v>
      </c>
    </row>
    <row r="16" spans="2:25" x14ac:dyDescent="0.25">
      <c r="U16" t="s">
        <v>8</v>
      </c>
      <c r="V16">
        <f>COUNTIF(Tablo4[Özellikler],Tablo4[[#This Row],[Özellikler]])</f>
        <v>81</v>
      </c>
    </row>
    <row r="17" spans="2:22" x14ac:dyDescent="0.25">
      <c r="U17" t="s">
        <v>8</v>
      </c>
      <c r="V17">
        <f>COUNTIF(Tablo4[Özellikler],Tablo4[[#This Row],[Özellikler]])</f>
        <v>81</v>
      </c>
    </row>
    <row r="18" spans="2:22" x14ac:dyDescent="0.25">
      <c r="B18" s="14" t="s">
        <v>8</v>
      </c>
      <c r="C18" s="15"/>
      <c r="E18" s="14" t="s">
        <v>8</v>
      </c>
      <c r="F18" s="15"/>
      <c r="H18" s="8" t="s">
        <v>8</v>
      </c>
      <c r="I18" s="9"/>
      <c r="K18" s="8" t="s">
        <v>8</v>
      </c>
      <c r="L18" s="9"/>
      <c r="N18" s="8" t="s">
        <v>8</v>
      </c>
      <c r="O18" s="9"/>
      <c r="Q18" s="8" t="s">
        <v>8</v>
      </c>
      <c r="R18" s="9"/>
      <c r="U18" t="s">
        <v>8</v>
      </c>
      <c r="V18">
        <f>COUNTIF(Tablo4[Özellikler],Tablo4[[#This Row],[Özellikler]])</f>
        <v>81</v>
      </c>
    </row>
    <row r="19" spans="2:22" x14ac:dyDescent="0.25">
      <c r="B19" s="16"/>
      <c r="C19" s="17"/>
      <c r="E19" s="16"/>
      <c r="F19" s="17"/>
      <c r="H19" s="10"/>
      <c r="I19" s="11"/>
      <c r="K19" s="10"/>
      <c r="L19" s="11"/>
      <c r="N19" s="10"/>
      <c r="O19" s="11"/>
      <c r="Q19" s="10"/>
      <c r="R19" s="11"/>
      <c r="U19" t="s">
        <v>8</v>
      </c>
      <c r="V19">
        <f>COUNTIF(Tablo4[Özellikler],Tablo4[[#This Row],[Özellikler]])</f>
        <v>81</v>
      </c>
    </row>
    <row r="20" spans="2:22" x14ac:dyDescent="0.25">
      <c r="B20" s="18"/>
      <c r="C20" s="19"/>
      <c r="E20" s="18"/>
      <c r="F20" s="19"/>
      <c r="H20" s="12"/>
      <c r="I20" s="13"/>
      <c r="K20" s="12"/>
      <c r="L20" s="13"/>
      <c r="N20" s="12"/>
      <c r="O20" s="13"/>
      <c r="Q20" s="12"/>
      <c r="R20" s="13"/>
      <c r="U20" t="s">
        <v>8</v>
      </c>
      <c r="V20">
        <f>COUNTIF(Tablo4[Özellikler],Tablo4[[#This Row],[Özellikler]])</f>
        <v>81</v>
      </c>
    </row>
    <row r="21" spans="2:22" x14ac:dyDescent="0.25">
      <c r="U21" t="s">
        <v>8</v>
      </c>
      <c r="V21">
        <f>COUNTIF(Tablo4[Özellikler],Tablo4[[#This Row],[Özellikler]])</f>
        <v>81</v>
      </c>
    </row>
    <row r="22" spans="2:22" x14ac:dyDescent="0.25">
      <c r="U22" t="s">
        <v>8</v>
      </c>
      <c r="V22">
        <f>COUNTIF(Tablo4[Özellikler],Tablo4[[#This Row],[Özellikler]])</f>
        <v>81</v>
      </c>
    </row>
    <row r="23" spans="2:22" x14ac:dyDescent="0.25">
      <c r="U23" t="s">
        <v>8</v>
      </c>
      <c r="V23">
        <f>COUNTIF(Tablo4[Özellikler],Tablo4[[#This Row],[Özellikler]])</f>
        <v>81</v>
      </c>
    </row>
    <row r="24" spans="2:22" x14ac:dyDescent="0.25">
      <c r="B24" s="14" t="s">
        <v>8</v>
      </c>
      <c r="C24" s="15"/>
      <c r="E24" s="14" t="s">
        <v>8</v>
      </c>
      <c r="F24" s="15"/>
      <c r="H24" s="8" t="s">
        <v>7</v>
      </c>
      <c r="I24" s="9"/>
      <c r="K24" s="8" t="s">
        <v>6</v>
      </c>
      <c r="L24" s="9"/>
      <c r="N24" s="8" t="s">
        <v>8</v>
      </c>
      <c r="O24" s="9"/>
      <c r="Q24" s="8" t="s">
        <v>8</v>
      </c>
      <c r="R24" s="9"/>
      <c r="U24" t="s">
        <v>8</v>
      </c>
      <c r="V24">
        <f>COUNTIF(Tablo4[Özellikler],Tablo4[[#This Row],[Özellikler]])</f>
        <v>81</v>
      </c>
    </row>
    <row r="25" spans="2:22" x14ac:dyDescent="0.25">
      <c r="B25" s="16"/>
      <c r="C25" s="17"/>
      <c r="E25" s="16"/>
      <c r="F25" s="17"/>
      <c r="H25" s="10"/>
      <c r="I25" s="11"/>
      <c r="K25" s="10"/>
      <c r="L25" s="11"/>
      <c r="N25" s="10"/>
      <c r="O25" s="11"/>
      <c r="Q25" s="10"/>
      <c r="R25" s="11"/>
      <c r="U25" t="s">
        <v>8</v>
      </c>
      <c r="V25">
        <f>COUNTIF(Tablo4[Özellikler],Tablo4[[#This Row],[Özellikler]])</f>
        <v>81</v>
      </c>
    </row>
    <row r="26" spans="2:22" x14ac:dyDescent="0.25">
      <c r="B26" s="18"/>
      <c r="C26" s="19"/>
      <c r="E26" s="18"/>
      <c r="F26" s="19"/>
      <c r="H26" s="12"/>
      <c r="I26" s="13"/>
      <c r="K26" s="12"/>
      <c r="L26" s="13"/>
      <c r="N26" s="12"/>
      <c r="O26" s="13"/>
      <c r="Q26" s="12"/>
      <c r="R26" s="13"/>
      <c r="U26" t="s">
        <v>8</v>
      </c>
      <c r="V26">
        <f>COUNTIF(Tablo4[Özellikler],Tablo4[[#This Row],[Özellikler]])</f>
        <v>81</v>
      </c>
    </row>
    <row r="27" spans="2:22" x14ac:dyDescent="0.25">
      <c r="B27" s="1"/>
      <c r="C27" s="1"/>
      <c r="E27" s="1"/>
      <c r="F27" s="1"/>
      <c r="H27" s="1"/>
      <c r="I27" s="1"/>
      <c r="K27" s="1"/>
      <c r="L27" s="1"/>
      <c r="N27" s="1"/>
      <c r="O27" s="1"/>
      <c r="Q27" s="1"/>
      <c r="R27" s="1"/>
      <c r="U27" t="s">
        <v>8</v>
      </c>
      <c r="V27">
        <f>COUNTIF(Tablo4[Özellikler],Tablo4[[#This Row],[Özellikler]])</f>
        <v>81</v>
      </c>
    </row>
    <row r="28" spans="2:22" x14ac:dyDescent="0.25">
      <c r="B28" s="1"/>
      <c r="C28" s="1"/>
      <c r="E28" s="1"/>
      <c r="F28" s="1"/>
      <c r="H28" s="1"/>
      <c r="I28" s="1"/>
      <c r="K28" s="1"/>
      <c r="L28" s="1"/>
      <c r="N28" s="1"/>
      <c r="O28" s="1"/>
      <c r="Q28" s="1"/>
      <c r="R28" s="1"/>
      <c r="U28" t="s">
        <v>8</v>
      </c>
      <c r="V28">
        <f>COUNTIF(Tablo4[Özellikler],Tablo4[[#This Row],[Özellikler]])</f>
        <v>81</v>
      </c>
    </row>
    <row r="29" spans="2:22" x14ac:dyDescent="0.25">
      <c r="U29" t="s">
        <v>8</v>
      </c>
      <c r="V29">
        <f>COUNTIF(Tablo4[Özellikler],Tablo4[[#This Row],[Özellikler]])</f>
        <v>81</v>
      </c>
    </row>
    <row r="30" spans="2:22" x14ac:dyDescent="0.25">
      <c r="B30" s="20" t="s">
        <v>8</v>
      </c>
      <c r="C30" s="20"/>
      <c r="E30" s="20" t="s">
        <v>8</v>
      </c>
      <c r="F30" s="20"/>
      <c r="H30" s="8" t="s">
        <v>8</v>
      </c>
      <c r="I30" s="9"/>
      <c r="K30" s="8" t="s">
        <v>8</v>
      </c>
      <c r="L30" s="9"/>
      <c r="N30" s="8" t="s">
        <v>8</v>
      </c>
      <c r="O30" s="9"/>
      <c r="Q30" s="8" t="s">
        <v>8</v>
      </c>
      <c r="R30" s="9"/>
      <c r="U30" t="s">
        <v>8</v>
      </c>
      <c r="V30">
        <f>COUNTIF(Tablo4[Özellikler],Tablo4[[#This Row],[Özellikler]])</f>
        <v>81</v>
      </c>
    </row>
    <row r="31" spans="2:22" x14ac:dyDescent="0.25">
      <c r="B31" s="20"/>
      <c r="C31" s="20"/>
      <c r="E31" s="20"/>
      <c r="F31" s="20"/>
      <c r="H31" s="10"/>
      <c r="I31" s="11"/>
      <c r="K31" s="10"/>
      <c r="L31" s="11"/>
      <c r="N31" s="10"/>
      <c r="O31" s="11"/>
      <c r="Q31" s="10"/>
      <c r="R31" s="11"/>
      <c r="U31" t="s">
        <v>8</v>
      </c>
      <c r="V31">
        <f>COUNTIF(Tablo4[Özellikler],Tablo4[[#This Row],[Özellikler]])</f>
        <v>81</v>
      </c>
    </row>
    <row r="32" spans="2:22" x14ac:dyDescent="0.25">
      <c r="B32" s="20"/>
      <c r="C32" s="20"/>
      <c r="E32" s="20"/>
      <c r="F32" s="20"/>
      <c r="H32" s="12"/>
      <c r="I32" s="13"/>
      <c r="K32" s="12"/>
      <c r="L32" s="13"/>
      <c r="N32" s="12"/>
      <c r="O32" s="13"/>
      <c r="Q32" s="12"/>
      <c r="R32" s="13"/>
      <c r="U32" t="s">
        <v>8</v>
      </c>
      <c r="V32">
        <f>COUNTIF(Tablo4[Özellikler],Tablo4[[#This Row],[Özellikler]])</f>
        <v>81</v>
      </c>
    </row>
    <row r="33" spans="2:22" x14ac:dyDescent="0.25">
      <c r="U33" t="s">
        <v>8</v>
      </c>
      <c r="V33">
        <f>COUNTIF(Tablo4[Özellikler],Tablo4[[#This Row],[Özellikler]])</f>
        <v>81</v>
      </c>
    </row>
    <row r="34" spans="2:22" x14ac:dyDescent="0.25">
      <c r="U34" t="s">
        <v>8</v>
      </c>
      <c r="V34">
        <f>COUNTIF(Tablo4[Özellikler],Tablo4[[#This Row],[Özellikler]])</f>
        <v>81</v>
      </c>
    </row>
    <row r="35" spans="2:22" x14ac:dyDescent="0.25">
      <c r="U35" t="s">
        <v>8</v>
      </c>
      <c r="V35">
        <f>COUNTIF(Tablo4[Özellikler],Tablo4[[#This Row],[Özellikler]])</f>
        <v>81</v>
      </c>
    </row>
    <row r="36" spans="2:22" ht="15" customHeight="1" x14ac:dyDescent="0.25">
      <c r="B36" s="24" t="s">
        <v>8</v>
      </c>
      <c r="C36" s="25"/>
      <c r="E36" s="14" t="s">
        <v>8</v>
      </c>
      <c r="F36" s="15"/>
      <c r="H36" s="31" t="s">
        <v>8</v>
      </c>
      <c r="I36" s="32"/>
      <c r="K36" s="8" t="s">
        <v>8</v>
      </c>
      <c r="L36" s="9"/>
      <c r="N36" s="31" t="s">
        <v>8</v>
      </c>
      <c r="O36" s="32"/>
      <c r="Q36" s="8" t="s">
        <v>8</v>
      </c>
      <c r="R36" s="9"/>
      <c r="U36" t="s">
        <v>8</v>
      </c>
      <c r="V36">
        <f>COUNTIF(Tablo4[Özellikler],Tablo4[[#This Row],[Özellikler]])</f>
        <v>81</v>
      </c>
    </row>
    <row r="37" spans="2:22" ht="15" customHeight="1" x14ac:dyDescent="0.25">
      <c r="B37" s="26"/>
      <c r="C37" s="27"/>
      <c r="E37" s="16"/>
      <c r="F37" s="17"/>
      <c r="H37" s="33"/>
      <c r="I37" s="34"/>
      <c r="K37" s="10"/>
      <c r="L37" s="11"/>
      <c r="N37" s="33"/>
      <c r="O37" s="34"/>
      <c r="Q37" s="10"/>
      <c r="R37" s="11"/>
      <c r="U37" t="s">
        <v>8</v>
      </c>
      <c r="V37">
        <f>COUNTIF(Tablo4[Özellikler],Tablo4[[#This Row],[Özellikler]])</f>
        <v>81</v>
      </c>
    </row>
    <row r="38" spans="2:22" x14ac:dyDescent="0.25">
      <c r="B38" s="28"/>
      <c r="C38" s="29"/>
      <c r="E38" s="18"/>
      <c r="F38" s="19"/>
      <c r="H38" s="35"/>
      <c r="I38" s="36"/>
      <c r="K38" s="12"/>
      <c r="L38" s="13"/>
      <c r="N38" s="35"/>
      <c r="O38" s="36"/>
      <c r="Q38" s="2"/>
      <c r="R38" s="3"/>
      <c r="U38" t="s">
        <v>7</v>
      </c>
      <c r="V38">
        <f>COUNTIF(Tablo4[Özellikler],Tablo4[[#This Row],[Özellikler]])</f>
        <v>1</v>
      </c>
    </row>
    <row r="39" spans="2:22" x14ac:dyDescent="0.25">
      <c r="U39" t="s">
        <v>8</v>
      </c>
      <c r="V39">
        <f>COUNTIF(Tablo4[Özellikler],Tablo4[[#This Row],[Özellikler]])</f>
        <v>81</v>
      </c>
    </row>
    <row r="40" spans="2:22" x14ac:dyDescent="0.25">
      <c r="U40" t="s">
        <v>8</v>
      </c>
      <c r="V40">
        <f>COUNTIF(Tablo4[Özellikler],Tablo4[[#This Row],[Özellikler]])</f>
        <v>81</v>
      </c>
    </row>
    <row r="41" spans="2:22" x14ac:dyDescent="0.25">
      <c r="U41" t="s">
        <v>8</v>
      </c>
      <c r="V41">
        <f>COUNTIF(Tablo4[Özellikler],Tablo4[[#This Row],[Özellikler]])</f>
        <v>81</v>
      </c>
    </row>
    <row r="42" spans="2:22" x14ac:dyDescent="0.25">
      <c r="B42" s="14" t="s">
        <v>8</v>
      </c>
      <c r="C42" s="15"/>
      <c r="E42" s="14" t="s">
        <v>8</v>
      </c>
      <c r="F42" s="15"/>
      <c r="H42" s="8" t="s">
        <v>8</v>
      </c>
      <c r="I42" s="9"/>
      <c r="K42" s="8" t="s">
        <v>8</v>
      </c>
      <c r="L42" s="9"/>
      <c r="N42" s="8" t="s">
        <v>8</v>
      </c>
      <c r="O42" s="9"/>
      <c r="Q42" s="8" t="s">
        <v>8</v>
      </c>
      <c r="R42" s="9"/>
      <c r="U42" t="s">
        <v>8</v>
      </c>
      <c r="V42">
        <f>COUNTIF(Tablo4[Özellikler],Tablo4[[#This Row],[Özellikler]])</f>
        <v>81</v>
      </c>
    </row>
    <row r="43" spans="2:22" x14ac:dyDescent="0.25">
      <c r="B43" s="16"/>
      <c r="C43" s="17"/>
      <c r="E43" s="16"/>
      <c r="F43" s="17"/>
      <c r="H43" s="10"/>
      <c r="I43" s="11"/>
      <c r="K43" s="10"/>
      <c r="L43" s="11"/>
      <c r="N43" s="10"/>
      <c r="O43" s="11"/>
      <c r="Q43" s="10"/>
      <c r="R43" s="11"/>
      <c r="U43" t="s">
        <v>8</v>
      </c>
      <c r="V43">
        <f>COUNTIF(Tablo4[Özellikler],Tablo4[[#This Row],[Özellikler]])</f>
        <v>81</v>
      </c>
    </row>
    <row r="44" spans="2:22" x14ac:dyDescent="0.25">
      <c r="B44" s="18"/>
      <c r="C44" s="19"/>
      <c r="E44" s="18"/>
      <c r="F44" s="19"/>
      <c r="H44" s="12"/>
      <c r="I44" s="13"/>
      <c r="K44" s="12"/>
      <c r="L44" s="13"/>
      <c r="N44" s="12"/>
      <c r="O44" s="13"/>
      <c r="Q44" s="12"/>
      <c r="R44" s="13"/>
      <c r="U44" t="s">
        <v>8</v>
      </c>
      <c r="V44">
        <f>COUNTIF(Tablo4[Özellikler],Tablo4[[#This Row],[Özellikler]])</f>
        <v>81</v>
      </c>
    </row>
    <row r="45" spans="2:22" x14ac:dyDescent="0.25">
      <c r="U45" t="s">
        <v>8</v>
      </c>
      <c r="V45">
        <f>COUNTIF(Tablo4[Özellikler],Tablo4[[#This Row],[Özellikler]])</f>
        <v>81</v>
      </c>
    </row>
    <row r="46" spans="2:22" x14ac:dyDescent="0.25">
      <c r="U46" t="s">
        <v>8</v>
      </c>
      <c r="V46">
        <f>COUNTIF(Tablo4[Özellikler],Tablo4[[#This Row],[Özellikler]])</f>
        <v>81</v>
      </c>
    </row>
    <row r="47" spans="2:22" x14ac:dyDescent="0.25">
      <c r="U47" t="s">
        <v>8</v>
      </c>
      <c r="V47">
        <f>COUNTIF(Tablo4[Özellikler],Tablo4[[#This Row],[Özellikler]])</f>
        <v>81</v>
      </c>
    </row>
    <row r="48" spans="2:22" x14ac:dyDescent="0.25">
      <c r="B48" s="14" t="s">
        <v>8</v>
      </c>
      <c r="C48" s="15"/>
      <c r="E48" s="14" t="s">
        <v>8</v>
      </c>
      <c r="F48" s="15"/>
      <c r="H48" s="8" t="s">
        <v>8</v>
      </c>
      <c r="I48" s="9"/>
      <c r="K48" s="8" t="s">
        <v>8</v>
      </c>
      <c r="L48" s="9"/>
      <c r="N48" s="8" t="s">
        <v>8</v>
      </c>
      <c r="O48" s="9"/>
      <c r="Q48" s="8" t="s">
        <v>8</v>
      </c>
      <c r="R48" s="9"/>
      <c r="U48" t="s">
        <v>8</v>
      </c>
      <c r="V48">
        <f>COUNTIF(Tablo4[Özellikler],Tablo4[[#This Row],[Özellikler]])</f>
        <v>81</v>
      </c>
    </row>
    <row r="49" spans="2:22" x14ac:dyDescent="0.25">
      <c r="B49" s="16"/>
      <c r="C49" s="17"/>
      <c r="E49" s="16"/>
      <c r="F49" s="17"/>
      <c r="H49" s="10"/>
      <c r="I49" s="11"/>
      <c r="K49" s="10"/>
      <c r="L49" s="11"/>
      <c r="N49" s="10"/>
      <c r="O49" s="11"/>
      <c r="Q49" s="10"/>
      <c r="R49" s="11"/>
      <c r="U49" t="s">
        <v>8</v>
      </c>
      <c r="V49">
        <f>COUNTIF(Tablo4[Özellikler],Tablo4[[#This Row],[Özellikler]])</f>
        <v>81</v>
      </c>
    </row>
    <row r="50" spans="2:22" x14ac:dyDescent="0.25">
      <c r="B50" s="18"/>
      <c r="C50" s="19"/>
      <c r="E50" s="18"/>
      <c r="F50" s="19"/>
      <c r="H50" s="12"/>
      <c r="I50" s="13"/>
      <c r="K50" s="12"/>
      <c r="L50" s="13"/>
      <c r="N50" s="12"/>
      <c r="O50" s="13"/>
      <c r="Q50" s="12"/>
      <c r="R50" s="13"/>
      <c r="U50" t="s">
        <v>9</v>
      </c>
      <c r="V50">
        <f>COUNTIF(Tablo4[Özellikler],Tablo4[[#This Row],[Özellikler]])</f>
        <v>1</v>
      </c>
    </row>
    <row r="51" spans="2:22" x14ac:dyDescent="0.25">
      <c r="U51" t="s">
        <v>8</v>
      </c>
      <c r="V51">
        <f>COUNTIF(Tablo4[Özellikler],Tablo4[[#This Row],[Özellikler]])</f>
        <v>81</v>
      </c>
    </row>
    <row r="52" spans="2:22" x14ac:dyDescent="0.25">
      <c r="U52" t="s">
        <v>6</v>
      </c>
      <c r="V52">
        <f>COUNTIF(Tablo4[Özellikler],Tablo4[[#This Row],[Özellikler]])</f>
        <v>1</v>
      </c>
    </row>
    <row r="53" spans="2:22" x14ac:dyDescent="0.25">
      <c r="U53" t="s">
        <v>8</v>
      </c>
      <c r="V53">
        <f>COUNTIF(Tablo4[Özellikler],Tablo4[[#This Row],[Özellikler]])</f>
        <v>81</v>
      </c>
    </row>
    <row r="54" spans="2:22" x14ac:dyDescent="0.25">
      <c r="B54" s="20" t="s">
        <v>8</v>
      </c>
      <c r="C54" s="20"/>
      <c r="E54" s="20" t="s">
        <v>8</v>
      </c>
      <c r="F54" s="20"/>
      <c r="H54" s="8" t="s">
        <v>8</v>
      </c>
      <c r="I54" s="9"/>
      <c r="K54" s="8" t="s">
        <v>8</v>
      </c>
      <c r="L54" s="9"/>
      <c r="N54" s="8" t="s">
        <v>8</v>
      </c>
      <c r="O54" s="9"/>
      <c r="Q54" s="8" t="s">
        <v>8</v>
      </c>
      <c r="R54" s="9"/>
      <c r="U54" t="s">
        <v>8</v>
      </c>
      <c r="V54">
        <f>COUNTIF(Tablo4[Özellikler],Tablo4[[#This Row],[Özellikler]])</f>
        <v>81</v>
      </c>
    </row>
    <row r="55" spans="2:22" x14ac:dyDescent="0.25">
      <c r="B55" s="20"/>
      <c r="C55" s="20"/>
      <c r="E55" s="20"/>
      <c r="F55" s="20"/>
      <c r="H55" s="10"/>
      <c r="I55" s="11"/>
      <c r="K55" s="10"/>
      <c r="L55" s="11"/>
      <c r="N55" s="10"/>
      <c r="O55" s="11"/>
      <c r="Q55" s="10"/>
      <c r="R55" s="11"/>
      <c r="U55" t="s">
        <v>8</v>
      </c>
      <c r="V55">
        <f>COUNTIF(Tablo4[Özellikler],Tablo4[[#This Row],[Özellikler]])</f>
        <v>81</v>
      </c>
    </row>
    <row r="56" spans="2:22" x14ac:dyDescent="0.25">
      <c r="B56" s="20"/>
      <c r="C56" s="20"/>
      <c r="E56" s="20"/>
      <c r="F56" s="20"/>
      <c r="H56" s="12"/>
      <c r="I56" s="13"/>
      <c r="K56" s="12"/>
      <c r="L56" s="13"/>
      <c r="N56" s="12"/>
      <c r="O56" s="13"/>
      <c r="Q56" s="12"/>
      <c r="R56" s="13"/>
      <c r="U56" t="s">
        <v>8</v>
      </c>
      <c r="V56">
        <f>COUNTIF(Tablo4[Özellikler],Tablo4[[#This Row],[Özellikler]])</f>
        <v>81</v>
      </c>
    </row>
    <row r="57" spans="2:22" x14ac:dyDescent="0.25">
      <c r="U57" t="s">
        <v>8</v>
      </c>
      <c r="V57">
        <f>COUNTIF(Tablo4[Özellikler],Tablo4[[#This Row],[Özellikler]])</f>
        <v>81</v>
      </c>
    </row>
    <row r="58" spans="2:22" x14ac:dyDescent="0.25">
      <c r="U58" t="s">
        <v>8</v>
      </c>
      <c r="V58">
        <f>COUNTIF(Tablo4[Özellikler],Tablo4[[#This Row],[Özellikler]])</f>
        <v>81</v>
      </c>
    </row>
    <row r="59" spans="2:22" x14ac:dyDescent="0.25">
      <c r="U59" t="s">
        <v>8</v>
      </c>
      <c r="V59">
        <f>COUNTIF(Tablo4[Özellikler],Tablo4[[#This Row],[Özellikler]])</f>
        <v>81</v>
      </c>
    </row>
    <row r="60" spans="2:22" ht="15" customHeight="1" x14ac:dyDescent="0.25">
      <c r="B60" s="24" t="s">
        <v>8</v>
      </c>
      <c r="C60" s="25"/>
      <c r="E60" s="14" t="s">
        <v>8</v>
      </c>
      <c r="F60" s="15"/>
      <c r="H60" s="31" t="s">
        <v>8</v>
      </c>
      <c r="I60" s="32"/>
      <c r="K60" s="8" t="s">
        <v>8</v>
      </c>
      <c r="L60" s="9"/>
      <c r="N60" s="31" t="s">
        <v>8</v>
      </c>
      <c r="O60" s="32"/>
      <c r="Q60" s="8" t="s">
        <v>8</v>
      </c>
      <c r="R60" s="9"/>
      <c r="U60" t="s">
        <v>8</v>
      </c>
      <c r="V60">
        <f>COUNTIF(Tablo4[Özellikler],Tablo4[[#This Row],[Özellikler]])</f>
        <v>81</v>
      </c>
    </row>
    <row r="61" spans="2:22" ht="15" customHeight="1" x14ac:dyDescent="0.25">
      <c r="B61" s="26"/>
      <c r="C61" s="27"/>
      <c r="E61" s="16"/>
      <c r="F61" s="17"/>
      <c r="H61" s="33"/>
      <c r="I61" s="34"/>
      <c r="K61" s="10"/>
      <c r="L61" s="11"/>
      <c r="N61" s="33"/>
      <c r="O61" s="34"/>
      <c r="Q61" s="10"/>
      <c r="R61" s="11"/>
      <c r="U61" t="s">
        <v>8</v>
      </c>
      <c r="V61">
        <f>COUNTIF(Tablo4[Özellikler],Tablo4[[#This Row],[Özellikler]])</f>
        <v>81</v>
      </c>
    </row>
    <row r="62" spans="2:22" x14ac:dyDescent="0.25">
      <c r="B62" s="28"/>
      <c r="C62" s="29"/>
      <c r="E62" s="18"/>
      <c r="F62" s="19"/>
      <c r="H62" s="35"/>
      <c r="I62" s="36"/>
      <c r="K62" s="12"/>
      <c r="L62" s="13"/>
      <c r="N62" s="35"/>
      <c r="O62" s="36"/>
      <c r="Q62" s="2"/>
      <c r="R62" s="3"/>
      <c r="U62" t="s">
        <v>8</v>
      </c>
      <c r="V62">
        <f>COUNTIF(Tablo4[Özellikler],Tablo4[[#This Row],[Özellikler]])</f>
        <v>81</v>
      </c>
    </row>
    <row r="63" spans="2:22" x14ac:dyDescent="0.25">
      <c r="U63" t="s">
        <v>8</v>
      </c>
      <c r="V63">
        <f>COUNTIF(Tablo4[Özellikler],Tablo4[[#This Row],[Özellikler]])</f>
        <v>81</v>
      </c>
    </row>
    <row r="64" spans="2:22" x14ac:dyDescent="0.25">
      <c r="U64" t="s">
        <v>8</v>
      </c>
      <c r="V64">
        <f>COUNTIF(Tablo4[Özellikler],Tablo4[[#This Row],[Özellikler]])</f>
        <v>81</v>
      </c>
    </row>
    <row r="65" spans="2:22" x14ac:dyDescent="0.25">
      <c r="U65" t="s">
        <v>8</v>
      </c>
      <c r="V65">
        <f>COUNTIF(Tablo4[Özellikler],Tablo4[[#This Row],[Özellikler]])</f>
        <v>81</v>
      </c>
    </row>
    <row r="66" spans="2:22" x14ac:dyDescent="0.25">
      <c r="B66" s="14" t="s">
        <v>8</v>
      </c>
      <c r="C66" s="15"/>
      <c r="E66" s="14" t="s">
        <v>8</v>
      </c>
      <c r="F66" s="15"/>
      <c r="H66" s="8" t="s">
        <v>8</v>
      </c>
      <c r="I66" s="9"/>
      <c r="K66" s="8" t="s">
        <v>8</v>
      </c>
      <c r="L66" s="9"/>
      <c r="N66" s="8" t="s">
        <v>8</v>
      </c>
      <c r="O66" s="9"/>
      <c r="Q66" s="8" t="s">
        <v>8</v>
      </c>
      <c r="R66" s="9"/>
      <c r="U66" t="s">
        <v>8</v>
      </c>
      <c r="V66">
        <f>COUNTIF(Tablo4[Özellikler],Tablo4[[#This Row],[Özellikler]])</f>
        <v>81</v>
      </c>
    </row>
    <row r="67" spans="2:22" x14ac:dyDescent="0.25">
      <c r="B67" s="16"/>
      <c r="C67" s="17"/>
      <c r="E67" s="16"/>
      <c r="F67" s="17"/>
      <c r="H67" s="10"/>
      <c r="I67" s="11"/>
      <c r="K67" s="10"/>
      <c r="L67" s="11"/>
      <c r="N67" s="10"/>
      <c r="O67" s="11"/>
      <c r="Q67" s="10"/>
      <c r="R67" s="11"/>
      <c r="U67" t="s">
        <v>8</v>
      </c>
      <c r="V67">
        <f>COUNTIF(Tablo4[Özellikler],Tablo4[[#This Row],[Özellikler]])</f>
        <v>81</v>
      </c>
    </row>
    <row r="68" spans="2:22" x14ac:dyDescent="0.25">
      <c r="B68" s="18"/>
      <c r="C68" s="19"/>
      <c r="E68" s="18"/>
      <c r="F68" s="19"/>
      <c r="H68" s="12"/>
      <c r="I68" s="13"/>
      <c r="K68" s="12"/>
      <c r="L68" s="13"/>
      <c r="N68" s="12"/>
      <c r="O68" s="13"/>
      <c r="Q68" s="12"/>
      <c r="R68" s="13"/>
      <c r="U68" t="s">
        <v>8</v>
      </c>
      <c r="V68">
        <f>COUNTIF(Tablo4[Özellikler],Tablo4[[#This Row],[Özellikler]])</f>
        <v>81</v>
      </c>
    </row>
    <row r="69" spans="2:22" x14ac:dyDescent="0.25">
      <c r="U69" t="s">
        <v>8</v>
      </c>
      <c r="V69">
        <f>COUNTIF(Tablo4[Özellikler],Tablo4[[#This Row],[Özellikler]])</f>
        <v>81</v>
      </c>
    </row>
    <row r="70" spans="2:22" x14ac:dyDescent="0.25">
      <c r="U70" t="s">
        <v>8</v>
      </c>
      <c r="V70">
        <f>COUNTIF(Tablo4[Özellikler],Tablo4[[#This Row],[Özellikler]])</f>
        <v>81</v>
      </c>
    </row>
    <row r="71" spans="2:22" x14ac:dyDescent="0.25">
      <c r="U71" t="s">
        <v>8</v>
      </c>
      <c r="V71">
        <f>COUNTIF(Tablo4[Özellikler],Tablo4[[#This Row],[Özellikler]])</f>
        <v>81</v>
      </c>
    </row>
    <row r="72" spans="2:22" x14ac:dyDescent="0.25">
      <c r="B72" s="14" t="s">
        <v>8</v>
      </c>
      <c r="C72" s="15"/>
      <c r="E72" s="14" t="s">
        <v>8</v>
      </c>
      <c r="F72" s="15"/>
      <c r="H72" s="8" t="s">
        <v>8</v>
      </c>
      <c r="I72" s="9"/>
      <c r="K72" s="8" t="s">
        <v>8</v>
      </c>
      <c r="L72" s="9"/>
      <c r="N72" s="8" t="s">
        <v>8</v>
      </c>
      <c r="O72" s="9"/>
      <c r="Q72" s="8" t="s">
        <v>8</v>
      </c>
      <c r="R72" s="9"/>
      <c r="U72" t="s">
        <v>8</v>
      </c>
      <c r="V72">
        <f>COUNTIF(Tablo4[Özellikler],Tablo4[[#This Row],[Özellikler]])</f>
        <v>81</v>
      </c>
    </row>
    <row r="73" spans="2:22" x14ac:dyDescent="0.25">
      <c r="B73" s="16"/>
      <c r="C73" s="17"/>
      <c r="E73" s="16"/>
      <c r="F73" s="17"/>
      <c r="H73" s="10"/>
      <c r="I73" s="11"/>
      <c r="K73" s="10"/>
      <c r="L73" s="11"/>
      <c r="N73" s="10"/>
      <c r="O73" s="11"/>
      <c r="Q73" s="10"/>
      <c r="R73" s="11"/>
      <c r="U73" t="s">
        <v>8</v>
      </c>
      <c r="V73">
        <f>COUNTIF(Tablo4[Özellikler],Tablo4[[#This Row],[Özellikler]])</f>
        <v>81</v>
      </c>
    </row>
    <row r="74" spans="2:22" x14ac:dyDescent="0.25">
      <c r="B74" s="18"/>
      <c r="C74" s="19"/>
      <c r="E74" s="18"/>
      <c r="F74" s="19"/>
      <c r="H74" s="12"/>
      <c r="I74" s="13"/>
      <c r="K74" s="12"/>
      <c r="L74" s="13"/>
      <c r="N74" s="12"/>
      <c r="O74" s="13"/>
      <c r="Q74" s="12"/>
      <c r="R74" s="13"/>
      <c r="U74" t="s">
        <v>8</v>
      </c>
      <c r="V74">
        <f>COUNTIF(Tablo4[Özellikler],Tablo4[[#This Row],[Özellikler]])</f>
        <v>81</v>
      </c>
    </row>
    <row r="75" spans="2:22" x14ac:dyDescent="0.25">
      <c r="B75" s="1"/>
      <c r="C75" s="1"/>
      <c r="E75" s="1"/>
      <c r="F75" s="1"/>
      <c r="H75" s="1"/>
      <c r="I75" s="1"/>
      <c r="K75" s="1"/>
      <c r="L75" s="1"/>
      <c r="N75" s="1"/>
      <c r="O75" s="1"/>
      <c r="Q75" s="1"/>
      <c r="R75" s="1"/>
      <c r="U75" t="s">
        <v>8</v>
      </c>
      <c r="V75">
        <f>COUNTIF(Tablo4[Özellikler],Tablo4[[#This Row],[Özellikler]])</f>
        <v>81</v>
      </c>
    </row>
    <row r="76" spans="2:22" x14ac:dyDescent="0.25">
      <c r="B76" s="1"/>
      <c r="C76" s="1"/>
      <c r="E76" s="1"/>
      <c r="F76" s="1"/>
      <c r="H76" s="1"/>
      <c r="I76" s="1"/>
      <c r="K76" s="1"/>
      <c r="L76" s="1"/>
      <c r="N76" s="1"/>
      <c r="O76" s="1"/>
      <c r="Q76" s="1"/>
      <c r="R76" s="1"/>
      <c r="U76" t="s">
        <v>8</v>
      </c>
      <c r="V76">
        <f>COUNTIF(Tablo4[Özellikler],Tablo4[[#This Row],[Özellikler]])</f>
        <v>81</v>
      </c>
    </row>
    <row r="77" spans="2:22" x14ac:dyDescent="0.25">
      <c r="U77" t="s">
        <v>8</v>
      </c>
      <c r="V77">
        <f>COUNTIF(Tablo4[Özellikler],Tablo4[[#This Row],[Özellikler]])</f>
        <v>81</v>
      </c>
    </row>
    <row r="78" spans="2:22" x14ac:dyDescent="0.25">
      <c r="B78" s="20" t="s">
        <v>8</v>
      </c>
      <c r="C78" s="20"/>
      <c r="E78" s="20" t="s">
        <v>8</v>
      </c>
      <c r="F78" s="20"/>
      <c r="H78" s="8" t="s">
        <v>8</v>
      </c>
      <c r="I78" s="9"/>
      <c r="K78" s="8" t="s">
        <v>8</v>
      </c>
      <c r="L78" s="9"/>
      <c r="N78" s="8" t="s">
        <v>8</v>
      </c>
      <c r="O78" s="9"/>
      <c r="Q78" s="8" t="s">
        <v>8</v>
      </c>
      <c r="R78" s="9"/>
      <c r="U78" t="s">
        <v>8</v>
      </c>
      <c r="V78">
        <f>COUNTIF(Tablo4[Özellikler],Tablo4[[#This Row],[Özellikler]])</f>
        <v>81</v>
      </c>
    </row>
    <row r="79" spans="2:22" x14ac:dyDescent="0.25">
      <c r="B79" s="20"/>
      <c r="C79" s="20"/>
      <c r="E79" s="20"/>
      <c r="F79" s="20"/>
      <c r="H79" s="10"/>
      <c r="I79" s="11"/>
      <c r="K79" s="10"/>
      <c r="L79" s="11"/>
      <c r="N79" s="10"/>
      <c r="O79" s="11"/>
      <c r="Q79" s="10"/>
      <c r="R79" s="11"/>
      <c r="U79" t="s">
        <v>8</v>
      </c>
      <c r="V79">
        <f>COUNTIF(Tablo4[Özellikler],Tablo4[[#This Row],[Özellikler]])</f>
        <v>81</v>
      </c>
    </row>
    <row r="80" spans="2:22" x14ac:dyDescent="0.25">
      <c r="B80" s="20"/>
      <c r="C80" s="20"/>
      <c r="E80" s="20"/>
      <c r="F80" s="20"/>
      <c r="H80" s="12"/>
      <c r="I80" s="13"/>
      <c r="K80" s="12"/>
      <c r="L80" s="13"/>
      <c r="N80" s="12"/>
      <c r="O80" s="13"/>
      <c r="Q80" s="12"/>
      <c r="R80" s="13"/>
      <c r="U80" t="s">
        <v>8</v>
      </c>
      <c r="V80">
        <f>COUNTIF(Tablo4[Özellikler],Tablo4[[#This Row],[Özellikler]])</f>
        <v>81</v>
      </c>
    </row>
    <row r="81" spans="2:22" x14ac:dyDescent="0.25">
      <c r="U81" t="s">
        <v>8</v>
      </c>
      <c r="V81">
        <f>COUNTIF(Tablo4[Özellikler],Tablo4[[#This Row],[Özellikler]])</f>
        <v>81</v>
      </c>
    </row>
    <row r="82" spans="2:22" x14ac:dyDescent="0.25">
      <c r="U82" t="s">
        <v>8</v>
      </c>
      <c r="V82">
        <f>COUNTIF(Tablo4[Özellikler],Tablo4[[#This Row],[Özellikler]])</f>
        <v>81</v>
      </c>
    </row>
    <row r="83" spans="2:22" x14ac:dyDescent="0.25">
      <c r="U83" t="s">
        <v>8</v>
      </c>
      <c r="V83">
        <f>COUNTIF(Tablo4[Özellikler],Tablo4[[#This Row],[Özellikler]])</f>
        <v>81</v>
      </c>
    </row>
    <row r="84" spans="2:22" ht="15" customHeight="1" x14ac:dyDescent="0.25">
      <c r="B84" s="24" t="s">
        <v>8</v>
      </c>
      <c r="C84" s="25"/>
      <c r="E84" s="14" t="s">
        <v>8</v>
      </c>
      <c r="F84" s="15"/>
      <c r="H84" s="31" t="s">
        <v>8</v>
      </c>
      <c r="I84" s="32"/>
      <c r="K84" s="8" t="s">
        <v>8</v>
      </c>
      <c r="L84" s="9"/>
      <c r="N84" s="31" t="s">
        <v>8</v>
      </c>
      <c r="O84" s="32"/>
      <c r="Q84" s="8" t="s">
        <v>8</v>
      </c>
      <c r="R84" s="9"/>
      <c r="U84" t="s">
        <v>8</v>
      </c>
      <c r="V84">
        <f>COUNTIF(Tablo4[Özellikler],Tablo4[[#This Row],[Özellikler]])</f>
        <v>81</v>
      </c>
    </row>
    <row r="85" spans="2:22" ht="15" customHeight="1" x14ac:dyDescent="0.25">
      <c r="B85" s="26"/>
      <c r="C85" s="27"/>
      <c r="E85" s="16"/>
      <c r="F85" s="17"/>
      <c r="H85" s="33"/>
      <c r="I85" s="34"/>
      <c r="K85" s="10"/>
      <c r="L85" s="11"/>
      <c r="N85" s="33"/>
      <c r="O85" s="34"/>
      <c r="Q85" s="10"/>
      <c r="R85" s="11"/>
      <c r="U85" t="s">
        <v>8</v>
      </c>
      <c r="V85">
        <f>COUNTIF(Tablo4[Özellikler],Tablo4[[#This Row],[Özellikler]])</f>
        <v>81</v>
      </c>
    </row>
    <row r="86" spans="2:22" x14ac:dyDescent="0.25">
      <c r="B86" s="28"/>
      <c r="C86" s="29"/>
      <c r="E86" s="18"/>
      <c r="F86" s="19"/>
      <c r="H86" s="35"/>
      <c r="I86" s="36"/>
      <c r="K86" s="12"/>
      <c r="L86" s="13"/>
      <c r="N86" s="35"/>
      <c r="O86" s="36"/>
      <c r="Q86" s="12"/>
      <c r="R86" s="13"/>
      <c r="U86" t="s">
        <v>8</v>
      </c>
      <c r="V86">
        <f>COUNTIF(Tablo4[Özellikler],Tablo4[[#This Row],[Özellikler]])</f>
        <v>81</v>
      </c>
    </row>
    <row r="87" spans="2:22" x14ac:dyDescent="0.25">
      <c r="U87" t="s">
        <v>8</v>
      </c>
      <c r="V87">
        <f>COUNTIF(Tablo4[Özellikler],Tablo4[[#This Row],[Özellikler]])</f>
        <v>81</v>
      </c>
    </row>
    <row r="88" spans="2:22" x14ac:dyDescent="0.25">
      <c r="U88" t="s">
        <v>8</v>
      </c>
      <c r="V88">
        <f>COUNTIF(Tablo4[Özellikler],Tablo4[[#This Row],[Özellikler]])</f>
        <v>81</v>
      </c>
    </row>
    <row r="89" spans="2:22" x14ac:dyDescent="0.25">
      <c r="U89" t="s">
        <v>8</v>
      </c>
      <c r="V89">
        <f>COUNTIF(Tablo4[Özellikler],Tablo4[[#This Row],[Özellikler]])</f>
        <v>81</v>
      </c>
    </row>
    <row r="90" spans="2:22" x14ac:dyDescent="0.25">
      <c r="U90" t="s">
        <v>8</v>
      </c>
      <c r="V90">
        <f>COUNTIF(Tablo4[Özellikler],Tablo4[[#This Row],[Özellikler]])</f>
        <v>81</v>
      </c>
    </row>
  </sheetData>
  <mergeCells count="89">
    <mergeCell ref="R1:T4"/>
    <mergeCell ref="B2:B4"/>
    <mergeCell ref="B6:C8"/>
    <mergeCell ref="E6:F8"/>
    <mergeCell ref="B12:C14"/>
    <mergeCell ref="E12:F14"/>
    <mergeCell ref="C4:E4"/>
    <mergeCell ref="I4:K4"/>
    <mergeCell ref="E30:F32"/>
    <mergeCell ref="B30:C32"/>
    <mergeCell ref="B24:C26"/>
    <mergeCell ref="E24:F26"/>
    <mergeCell ref="Q6:R8"/>
    <mergeCell ref="Q18:R20"/>
    <mergeCell ref="N6:O8"/>
    <mergeCell ref="K6:L8"/>
    <mergeCell ref="N18:O20"/>
    <mergeCell ref="K18:L20"/>
    <mergeCell ref="B18:C20"/>
    <mergeCell ref="E18:F20"/>
    <mergeCell ref="N30:O32"/>
    <mergeCell ref="Q30:R32"/>
    <mergeCell ref="H30:I32"/>
    <mergeCell ref="K30:L32"/>
    <mergeCell ref="E48:F50"/>
    <mergeCell ref="B48:C50"/>
    <mergeCell ref="E42:F44"/>
    <mergeCell ref="B42:C44"/>
    <mergeCell ref="E36:F38"/>
    <mergeCell ref="B36:C38"/>
    <mergeCell ref="H84:I86"/>
    <mergeCell ref="H78:I80"/>
    <mergeCell ref="K78:L80"/>
    <mergeCell ref="N78:O80"/>
    <mergeCell ref="B54:C56"/>
    <mergeCell ref="E54:F56"/>
    <mergeCell ref="B60:C62"/>
    <mergeCell ref="E60:F62"/>
    <mergeCell ref="B66:C68"/>
    <mergeCell ref="E66:F68"/>
    <mergeCell ref="B84:C86"/>
    <mergeCell ref="E84:F86"/>
    <mergeCell ref="B72:C74"/>
    <mergeCell ref="E72:F74"/>
    <mergeCell ref="B78:C80"/>
    <mergeCell ref="E78:F80"/>
    <mergeCell ref="Q84:R86"/>
    <mergeCell ref="N84:O86"/>
    <mergeCell ref="K84:L86"/>
    <mergeCell ref="Q60:R61"/>
    <mergeCell ref="N60:O62"/>
    <mergeCell ref="Q78:R80"/>
    <mergeCell ref="H36:I38"/>
    <mergeCell ref="H42:I44"/>
    <mergeCell ref="K48:L50"/>
    <mergeCell ref="N48:O50"/>
    <mergeCell ref="Q48:R50"/>
    <mergeCell ref="Q42:R44"/>
    <mergeCell ref="Q36:R37"/>
    <mergeCell ref="N36:O38"/>
    <mergeCell ref="N42:O44"/>
    <mergeCell ref="K42:L44"/>
    <mergeCell ref="K36:L38"/>
    <mergeCell ref="H48:I50"/>
    <mergeCell ref="O4:Q4"/>
    <mergeCell ref="Q72:R74"/>
    <mergeCell ref="N72:O74"/>
    <mergeCell ref="K72:L74"/>
    <mergeCell ref="H72:I74"/>
    <mergeCell ref="Q66:R68"/>
    <mergeCell ref="H6:I8"/>
    <mergeCell ref="H12:I14"/>
    <mergeCell ref="K12:L14"/>
    <mergeCell ref="N12:O14"/>
    <mergeCell ref="Q12:R14"/>
    <mergeCell ref="H18:I20"/>
    <mergeCell ref="Q24:R26"/>
    <mergeCell ref="N24:O26"/>
    <mergeCell ref="K24:L26"/>
    <mergeCell ref="H24:I26"/>
    <mergeCell ref="Q54:R56"/>
    <mergeCell ref="N54:O56"/>
    <mergeCell ref="K54:L56"/>
    <mergeCell ref="H54:I56"/>
    <mergeCell ref="N66:O68"/>
    <mergeCell ref="K60:L62"/>
    <mergeCell ref="H60:I62"/>
    <mergeCell ref="H66:I68"/>
    <mergeCell ref="K66:L68"/>
  </mergeCells>
  <phoneticPr fontId="1" type="noConversion"/>
  <pageMargins left="0.7" right="0.7" top="0.75" bottom="0.75" header="0.3" footer="0.3"/>
  <pageSetup paperSize="9" fitToWidth="0" fitToHeight="0" orientation="landscape" r:id="rId2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B1:Z48"/>
  <sheetViews>
    <sheetView zoomScaleNormal="100" workbookViewId="0">
      <selection activeCell="V7" sqref="V7:V48"/>
    </sheetView>
  </sheetViews>
  <sheetFormatPr defaultRowHeight="15" x14ac:dyDescent="0.25"/>
  <cols>
    <col min="21" max="21" width="20.85546875" customWidth="1"/>
    <col min="24" max="24" width="16.28515625" bestFit="1" customWidth="1"/>
    <col min="25" max="25" width="10.7109375" bestFit="1" customWidth="1"/>
  </cols>
  <sheetData>
    <row r="1" spans="2:25" x14ac:dyDescent="0.25">
      <c r="O1" s="21" t="s">
        <v>20</v>
      </c>
      <c r="P1" s="22"/>
      <c r="Q1" s="22"/>
    </row>
    <row r="2" spans="2:25" x14ac:dyDescent="0.25">
      <c r="B2" s="23"/>
      <c r="O2" s="22"/>
      <c r="P2" s="22"/>
      <c r="Q2" s="22"/>
    </row>
    <row r="3" spans="2:25" x14ac:dyDescent="0.25">
      <c r="B3" s="23"/>
      <c r="O3" s="22"/>
      <c r="P3" s="22"/>
      <c r="Q3" s="22"/>
    </row>
    <row r="4" spans="2:25" x14ac:dyDescent="0.25">
      <c r="B4" s="23"/>
      <c r="O4" s="22"/>
      <c r="P4" s="22"/>
      <c r="Q4" s="22"/>
    </row>
    <row r="6" spans="2:25" x14ac:dyDescent="0.25">
      <c r="B6" s="20" t="s">
        <v>1</v>
      </c>
      <c r="C6" s="20"/>
      <c r="E6" s="20" t="s">
        <v>1</v>
      </c>
      <c r="F6" s="20"/>
      <c r="H6" s="20" t="s">
        <v>1</v>
      </c>
      <c r="I6" s="20"/>
      <c r="J6" s="1"/>
      <c r="K6" s="8" t="s">
        <v>1</v>
      </c>
      <c r="L6" s="9"/>
      <c r="N6" s="8" t="s">
        <v>1</v>
      </c>
      <c r="O6" s="9"/>
      <c r="Q6" s="8" t="s">
        <v>1</v>
      </c>
      <c r="R6" s="9"/>
      <c r="U6" t="s">
        <v>13</v>
      </c>
      <c r="V6" t="s">
        <v>14</v>
      </c>
      <c r="X6" s="4" t="s">
        <v>13</v>
      </c>
      <c r="Y6" t="s">
        <v>16</v>
      </c>
    </row>
    <row r="7" spans="2:25" x14ac:dyDescent="0.25">
      <c r="B7" s="20"/>
      <c r="C7" s="20"/>
      <c r="E7" s="20"/>
      <c r="F7" s="20"/>
      <c r="H7" s="20"/>
      <c r="I7" s="20"/>
      <c r="J7" s="1"/>
      <c r="K7" s="10"/>
      <c r="L7" s="11"/>
      <c r="N7" s="10"/>
      <c r="O7" s="11"/>
      <c r="Q7" s="10"/>
      <c r="R7" s="11"/>
      <c r="U7" t="s">
        <v>1</v>
      </c>
      <c r="V7">
        <f>COUNTIF(Tablo5[Özellikler],Tablo5[[#This Row],[Özellikler]])</f>
        <v>40</v>
      </c>
      <c r="X7" s="5" t="s">
        <v>1</v>
      </c>
      <c r="Y7" s="37">
        <v>40</v>
      </c>
    </row>
    <row r="8" spans="2:25" x14ac:dyDescent="0.25">
      <c r="B8" s="20"/>
      <c r="C8" s="20"/>
      <c r="E8" s="20"/>
      <c r="F8" s="20"/>
      <c r="H8" s="20"/>
      <c r="I8" s="20"/>
      <c r="J8" s="1"/>
      <c r="K8" s="12"/>
      <c r="L8" s="13"/>
      <c r="N8" s="12"/>
      <c r="O8" s="13"/>
      <c r="Q8" s="12"/>
      <c r="R8" s="13"/>
      <c r="U8" t="s">
        <v>1</v>
      </c>
      <c r="V8">
        <f>COUNTIF(Tablo5[Özellikler],Tablo5[[#This Row],[Özellikler]])</f>
        <v>40</v>
      </c>
      <c r="X8" s="5" t="s">
        <v>6</v>
      </c>
      <c r="Y8" s="37">
        <v>2</v>
      </c>
    </row>
    <row r="9" spans="2:25" x14ac:dyDescent="0.25">
      <c r="U9" t="s">
        <v>1</v>
      </c>
      <c r="V9">
        <f>COUNTIF(Tablo5[Özellikler],Tablo5[[#This Row],[Özellikler]])</f>
        <v>40</v>
      </c>
      <c r="X9" s="5" t="s">
        <v>15</v>
      </c>
      <c r="Y9" s="37">
        <v>42</v>
      </c>
    </row>
    <row r="10" spans="2:25" x14ac:dyDescent="0.25">
      <c r="U10" t="s">
        <v>1</v>
      </c>
      <c r="V10">
        <f>COUNTIF(Tablo5[Özellikler],Tablo5[[#This Row],[Özellikler]])</f>
        <v>40</v>
      </c>
    </row>
    <row r="11" spans="2:25" x14ac:dyDescent="0.25">
      <c r="U11" t="s">
        <v>1</v>
      </c>
      <c r="V11">
        <f>COUNTIF(Tablo5[Özellikler],Tablo5[[#This Row],[Özellikler]])</f>
        <v>40</v>
      </c>
    </row>
    <row r="12" spans="2:25" ht="15" customHeight="1" x14ac:dyDescent="0.25">
      <c r="B12" s="24" t="s">
        <v>1</v>
      </c>
      <c r="C12" s="25"/>
      <c r="E12" s="14" t="s">
        <v>1</v>
      </c>
      <c r="F12" s="15"/>
      <c r="H12" s="20" t="s">
        <v>1</v>
      </c>
      <c r="I12" s="20"/>
      <c r="J12" s="1"/>
      <c r="K12" s="31" t="s">
        <v>1</v>
      </c>
      <c r="L12" s="32"/>
      <c r="N12" s="8" t="s">
        <v>1</v>
      </c>
      <c r="O12" s="9"/>
      <c r="Q12" s="8" t="s">
        <v>1</v>
      </c>
      <c r="R12" s="9"/>
      <c r="U12" t="s">
        <v>1</v>
      </c>
      <c r="V12">
        <f>COUNTIF(Tablo5[Özellikler],Tablo5[[#This Row],[Özellikler]])</f>
        <v>40</v>
      </c>
    </row>
    <row r="13" spans="2:25" x14ac:dyDescent="0.25">
      <c r="B13" s="26"/>
      <c r="C13" s="27"/>
      <c r="E13" s="16"/>
      <c r="F13" s="17"/>
      <c r="H13" s="20"/>
      <c r="I13" s="20"/>
      <c r="J13" s="1"/>
      <c r="K13" s="33"/>
      <c r="L13" s="34"/>
      <c r="N13" s="10"/>
      <c r="O13" s="11"/>
      <c r="Q13" s="10"/>
      <c r="R13" s="11"/>
      <c r="U13" t="s">
        <v>1</v>
      </c>
      <c r="V13">
        <f>COUNTIF(Tablo5[Özellikler],Tablo5[[#This Row],[Özellikler]])</f>
        <v>40</v>
      </c>
    </row>
    <row r="14" spans="2:25" x14ac:dyDescent="0.25">
      <c r="B14" s="28"/>
      <c r="C14" s="29"/>
      <c r="E14" s="18"/>
      <c r="F14" s="19"/>
      <c r="H14" s="20"/>
      <c r="I14" s="20"/>
      <c r="J14" s="1"/>
      <c r="K14" s="35"/>
      <c r="L14" s="36"/>
      <c r="N14" s="12"/>
      <c r="O14" s="13"/>
      <c r="Q14" s="12"/>
      <c r="R14" s="13"/>
      <c r="U14" t="s">
        <v>1</v>
      </c>
      <c r="V14">
        <f>COUNTIF(Tablo5[Özellikler],Tablo5[[#This Row],[Özellikler]])</f>
        <v>40</v>
      </c>
    </row>
    <row r="15" spans="2:25" x14ac:dyDescent="0.25">
      <c r="U15" t="s">
        <v>1</v>
      </c>
      <c r="V15">
        <f>COUNTIF(Tablo5[Özellikler],Tablo5[[#This Row],[Özellikler]])</f>
        <v>40</v>
      </c>
    </row>
    <row r="16" spans="2:25" x14ac:dyDescent="0.25">
      <c r="U16" t="s">
        <v>1</v>
      </c>
      <c r="V16">
        <f>COUNTIF(Tablo5[Özellikler],Tablo5[[#This Row],[Özellikler]])</f>
        <v>40</v>
      </c>
    </row>
    <row r="17" spans="2:26" x14ac:dyDescent="0.25">
      <c r="U17" t="s">
        <v>1</v>
      </c>
      <c r="V17">
        <f>COUNTIF(Tablo5[Özellikler],Tablo5[[#This Row],[Özellikler]])</f>
        <v>40</v>
      </c>
    </row>
    <row r="18" spans="2:26" x14ac:dyDescent="0.25">
      <c r="B18" s="14" t="s">
        <v>1</v>
      </c>
      <c r="C18" s="15"/>
      <c r="E18" s="14" t="s">
        <v>1</v>
      </c>
      <c r="F18" s="15"/>
      <c r="H18" s="20" t="s">
        <v>1</v>
      </c>
      <c r="I18" s="20"/>
      <c r="J18" s="1"/>
      <c r="K18" s="8" t="s">
        <v>1</v>
      </c>
      <c r="L18" s="9"/>
      <c r="N18" s="8" t="s">
        <v>1</v>
      </c>
      <c r="O18" s="9"/>
      <c r="Q18" s="8" t="s">
        <v>1</v>
      </c>
      <c r="R18" s="9"/>
      <c r="U18" t="s">
        <v>1</v>
      </c>
      <c r="V18">
        <f>COUNTIF(Tablo5[Özellikler],Tablo5[[#This Row],[Özellikler]])</f>
        <v>40</v>
      </c>
    </row>
    <row r="19" spans="2:26" x14ac:dyDescent="0.25">
      <c r="B19" s="16"/>
      <c r="C19" s="17"/>
      <c r="E19" s="16"/>
      <c r="F19" s="17"/>
      <c r="H19" s="20"/>
      <c r="I19" s="20"/>
      <c r="J19" s="1"/>
      <c r="K19" s="10"/>
      <c r="L19" s="11"/>
      <c r="N19" s="10"/>
      <c r="O19" s="11"/>
      <c r="Q19" s="10"/>
      <c r="R19" s="11"/>
      <c r="U19" t="s">
        <v>1</v>
      </c>
      <c r="V19">
        <f>COUNTIF(Tablo5[Özellikler],Tablo5[[#This Row],[Özellikler]])</f>
        <v>40</v>
      </c>
    </row>
    <row r="20" spans="2:26" x14ac:dyDescent="0.25">
      <c r="B20" s="18"/>
      <c r="C20" s="19"/>
      <c r="E20" s="18"/>
      <c r="F20" s="19"/>
      <c r="H20" s="20"/>
      <c r="I20" s="20"/>
      <c r="J20" s="1"/>
      <c r="K20" s="12"/>
      <c r="L20" s="13"/>
      <c r="N20" s="12"/>
      <c r="O20" s="13"/>
      <c r="Q20" s="12"/>
      <c r="R20" s="13"/>
      <c r="U20" t="s">
        <v>1</v>
      </c>
      <c r="V20">
        <f>COUNTIF(Tablo5[Özellikler],Tablo5[[#This Row],[Özellikler]])</f>
        <v>40</v>
      </c>
    </row>
    <row r="21" spans="2:26" x14ac:dyDescent="0.25">
      <c r="U21" t="s">
        <v>1</v>
      </c>
      <c r="V21">
        <f>COUNTIF(Tablo5[Özellikler],Tablo5[[#This Row],[Özellikler]])</f>
        <v>40</v>
      </c>
    </row>
    <row r="22" spans="2:26" x14ac:dyDescent="0.25">
      <c r="U22" t="s">
        <v>1</v>
      </c>
      <c r="V22">
        <f>COUNTIF(Tablo5[Özellikler],Tablo5[[#This Row],[Özellikler]])</f>
        <v>40</v>
      </c>
    </row>
    <row r="23" spans="2:26" x14ac:dyDescent="0.25">
      <c r="U23" t="s">
        <v>1</v>
      </c>
      <c r="V23">
        <f>COUNTIF(Tablo5[Özellikler],Tablo5[[#This Row],[Özellikler]])</f>
        <v>40</v>
      </c>
    </row>
    <row r="24" spans="2:26" x14ac:dyDescent="0.25">
      <c r="B24" s="14" t="s">
        <v>1</v>
      </c>
      <c r="C24" s="15"/>
      <c r="E24" s="14" t="s">
        <v>1</v>
      </c>
      <c r="F24" s="15"/>
      <c r="H24" s="20" t="s">
        <v>6</v>
      </c>
      <c r="I24" s="20"/>
      <c r="J24" s="1"/>
      <c r="K24" s="8" t="s">
        <v>1</v>
      </c>
      <c r="L24" s="9"/>
      <c r="N24" s="8" t="s">
        <v>1</v>
      </c>
      <c r="O24" s="9"/>
      <c r="Q24" s="8" t="s">
        <v>6</v>
      </c>
      <c r="R24" s="9"/>
      <c r="U24" t="s">
        <v>6</v>
      </c>
      <c r="V24">
        <f>COUNTIF(Tablo5[Özellikler],Tablo5[[#This Row],[Özellikler]])</f>
        <v>2</v>
      </c>
      <c r="Z24" s="1"/>
    </row>
    <row r="25" spans="2:26" x14ac:dyDescent="0.25">
      <c r="B25" s="16"/>
      <c r="C25" s="17"/>
      <c r="E25" s="16"/>
      <c r="F25" s="17"/>
      <c r="H25" s="20"/>
      <c r="I25" s="20"/>
      <c r="J25" s="1"/>
      <c r="K25" s="10"/>
      <c r="L25" s="11"/>
      <c r="N25" s="10"/>
      <c r="O25" s="11"/>
      <c r="Q25" s="10"/>
      <c r="R25" s="11"/>
      <c r="U25" t="s">
        <v>1</v>
      </c>
      <c r="V25">
        <f>COUNTIF(Tablo5[Özellikler],Tablo5[[#This Row],[Özellikler]])</f>
        <v>40</v>
      </c>
      <c r="Z25" s="1"/>
    </row>
    <row r="26" spans="2:26" x14ac:dyDescent="0.25">
      <c r="B26" s="18"/>
      <c r="C26" s="19"/>
      <c r="E26" s="18"/>
      <c r="F26" s="19"/>
      <c r="H26" s="20"/>
      <c r="I26" s="20"/>
      <c r="J26" s="1"/>
      <c r="K26" s="12"/>
      <c r="L26" s="13"/>
      <c r="N26" s="12"/>
      <c r="O26" s="13"/>
      <c r="Q26" s="12"/>
      <c r="R26" s="13"/>
      <c r="U26" t="s">
        <v>1</v>
      </c>
      <c r="V26">
        <f>COUNTIF(Tablo5[Özellikler],Tablo5[[#This Row],[Özellikler]])</f>
        <v>40</v>
      </c>
      <c r="Z26" s="1"/>
    </row>
    <row r="27" spans="2:26" x14ac:dyDescent="0.25">
      <c r="U27" t="s">
        <v>1</v>
      </c>
      <c r="V27">
        <f>COUNTIF(Tablo5[Özellikler],Tablo5[[#This Row],[Özellikler]])</f>
        <v>40</v>
      </c>
    </row>
    <row r="28" spans="2:26" x14ac:dyDescent="0.25">
      <c r="U28" t="s">
        <v>1</v>
      </c>
      <c r="V28">
        <f>COUNTIF(Tablo5[Özellikler],Tablo5[[#This Row],[Özellikler]])</f>
        <v>40</v>
      </c>
    </row>
    <row r="29" spans="2:26" x14ac:dyDescent="0.25">
      <c r="U29" t="s">
        <v>1</v>
      </c>
      <c r="V29">
        <f>COUNTIF(Tablo5[Özellikler],Tablo5[[#This Row],[Özellikler]])</f>
        <v>40</v>
      </c>
    </row>
    <row r="30" spans="2:26" ht="15" customHeight="1" x14ac:dyDescent="0.25">
      <c r="B30" s="24" t="s">
        <v>1</v>
      </c>
      <c r="C30" s="25"/>
      <c r="E30" s="14" t="s">
        <v>1</v>
      </c>
      <c r="F30" s="15"/>
      <c r="H30" s="20" t="s">
        <v>1</v>
      </c>
      <c r="I30" s="20"/>
      <c r="J30" s="1"/>
      <c r="K30" s="31" t="s">
        <v>1</v>
      </c>
      <c r="L30" s="32"/>
      <c r="N30" s="8" t="s">
        <v>1</v>
      </c>
      <c r="O30" s="9"/>
      <c r="Q30" s="8" t="s">
        <v>1</v>
      </c>
      <c r="R30" s="9"/>
      <c r="U30" t="s">
        <v>1</v>
      </c>
      <c r="V30">
        <f>COUNTIF(Tablo5[Özellikler],Tablo5[[#This Row],[Özellikler]])</f>
        <v>40</v>
      </c>
      <c r="Z30" s="1"/>
    </row>
    <row r="31" spans="2:26" ht="15" customHeight="1" x14ac:dyDescent="0.25">
      <c r="B31" s="26"/>
      <c r="C31" s="27"/>
      <c r="E31" s="16"/>
      <c r="F31" s="17"/>
      <c r="H31" s="20"/>
      <c r="I31" s="20"/>
      <c r="J31" s="1"/>
      <c r="K31" s="33"/>
      <c r="L31" s="34"/>
      <c r="N31" s="10"/>
      <c r="O31" s="11"/>
      <c r="Q31" s="10"/>
      <c r="R31" s="11"/>
      <c r="U31" t="s">
        <v>1</v>
      </c>
      <c r="V31">
        <f>COUNTIF(Tablo5[Özellikler],Tablo5[[#This Row],[Özellikler]])</f>
        <v>40</v>
      </c>
      <c r="Z31" s="1"/>
    </row>
    <row r="32" spans="2:26" x14ac:dyDescent="0.25">
      <c r="B32" s="28"/>
      <c r="C32" s="29"/>
      <c r="E32" s="18"/>
      <c r="F32" s="19"/>
      <c r="H32" s="20"/>
      <c r="I32" s="20"/>
      <c r="J32" s="1"/>
      <c r="K32" s="35"/>
      <c r="L32" s="36"/>
      <c r="N32" s="12"/>
      <c r="O32" s="13"/>
      <c r="Q32" s="12"/>
      <c r="R32" s="13"/>
      <c r="U32" t="s">
        <v>1</v>
      </c>
      <c r="V32">
        <f>COUNTIF(Tablo5[Özellikler],Tablo5[[#This Row],[Özellikler]])</f>
        <v>40</v>
      </c>
      <c r="Z32" s="1"/>
    </row>
    <row r="33" spans="2:26" x14ac:dyDescent="0.25">
      <c r="U33" t="s">
        <v>1</v>
      </c>
      <c r="V33">
        <f>COUNTIF(Tablo5[Özellikler],Tablo5[[#This Row],[Özellikler]])</f>
        <v>40</v>
      </c>
    </row>
    <row r="34" spans="2:26" x14ac:dyDescent="0.25">
      <c r="U34" t="s">
        <v>1</v>
      </c>
      <c r="V34">
        <f>COUNTIF(Tablo5[Özellikler],Tablo5[[#This Row],[Özellikler]])</f>
        <v>40</v>
      </c>
    </row>
    <row r="35" spans="2:26" x14ac:dyDescent="0.25">
      <c r="U35" t="s">
        <v>1</v>
      </c>
      <c r="V35">
        <f>COUNTIF(Tablo5[Özellikler],Tablo5[[#This Row],[Özellikler]])</f>
        <v>40</v>
      </c>
    </row>
    <row r="36" spans="2:26" x14ac:dyDescent="0.25">
      <c r="B36" s="14" t="s">
        <v>1</v>
      </c>
      <c r="C36" s="15"/>
      <c r="E36" s="14" t="s">
        <v>1</v>
      </c>
      <c r="F36" s="15"/>
      <c r="H36" s="20" t="s">
        <v>1</v>
      </c>
      <c r="I36" s="20"/>
      <c r="J36" s="1"/>
      <c r="K36" s="8" t="s">
        <v>1</v>
      </c>
      <c r="L36" s="9"/>
      <c r="N36" s="8" t="s">
        <v>1</v>
      </c>
      <c r="O36" s="9"/>
      <c r="Q36" s="8" t="s">
        <v>1</v>
      </c>
      <c r="R36" s="9"/>
      <c r="U36" t="s">
        <v>1</v>
      </c>
      <c r="V36">
        <f>COUNTIF(Tablo5[Özellikler],Tablo5[[#This Row],[Özellikler]])</f>
        <v>40</v>
      </c>
      <c r="Z36" s="1"/>
    </row>
    <row r="37" spans="2:26" x14ac:dyDescent="0.25">
      <c r="B37" s="16"/>
      <c r="C37" s="17"/>
      <c r="E37" s="16"/>
      <c r="F37" s="17"/>
      <c r="H37" s="20"/>
      <c r="I37" s="20"/>
      <c r="J37" s="1"/>
      <c r="K37" s="10"/>
      <c r="L37" s="11"/>
      <c r="N37" s="10"/>
      <c r="O37" s="11"/>
      <c r="Q37" s="10"/>
      <c r="R37" s="11"/>
      <c r="U37" t="s">
        <v>1</v>
      </c>
      <c r="V37">
        <f>COUNTIF(Tablo5[Özellikler],Tablo5[[#This Row],[Özellikler]])</f>
        <v>40</v>
      </c>
      <c r="Z37" s="1"/>
    </row>
    <row r="38" spans="2:26" x14ac:dyDescent="0.25">
      <c r="B38" s="18"/>
      <c r="C38" s="19"/>
      <c r="E38" s="18"/>
      <c r="F38" s="19"/>
      <c r="H38" s="20"/>
      <c r="I38" s="20"/>
      <c r="J38" s="1"/>
      <c r="K38" s="12"/>
      <c r="L38" s="13"/>
      <c r="N38" s="12"/>
      <c r="O38" s="13"/>
      <c r="Q38" s="12"/>
      <c r="R38" s="13"/>
      <c r="U38" t="s">
        <v>1</v>
      </c>
      <c r="V38">
        <f>COUNTIF(Tablo5[Özellikler],Tablo5[[#This Row],[Özellikler]])</f>
        <v>40</v>
      </c>
      <c r="Z38" s="1"/>
    </row>
    <row r="39" spans="2:26" x14ac:dyDescent="0.25">
      <c r="U39" t="s">
        <v>1</v>
      </c>
      <c r="V39">
        <f>COUNTIF(Tablo5[Özellikler],Tablo5[[#This Row],[Özellikler]])</f>
        <v>40</v>
      </c>
    </row>
    <row r="40" spans="2:26" x14ac:dyDescent="0.25">
      <c r="U40" t="s">
        <v>1</v>
      </c>
      <c r="V40">
        <f>COUNTIF(Tablo5[Özellikler],Tablo5[[#This Row],[Özellikler]])</f>
        <v>40</v>
      </c>
    </row>
    <row r="41" spans="2:26" x14ac:dyDescent="0.25">
      <c r="U41" t="s">
        <v>1</v>
      </c>
      <c r="V41">
        <f>COUNTIF(Tablo5[Özellikler],Tablo5[[#This Row],[Özellikler]])</f>
        <v>40</v>
      </c>
    </row>
    <row r="42" spans="2:26" x14ac:dyDescent="0.25">
      <c r="B42" s="14" t="s">
        <v>1</v>
      </c>
      <c r="C42" s="15"/>
      <c r="E42" s="14" t="s">
        <v>1</v>
      </c>
      <c r="F42" s="15"/>
      <c r="H42" s="20" t="s">
        <v>1</v>
      </c>
      <c r="I42" s="20"/>
      <c r="J42" s="1"/>
      <c r="K42" s="8" t="s">
        <v>1</v>
      </c>
      <c r="L42" s="9"/>
      <c r="N42" s="8" t="s">
        <v>1</v>
      </c>
      <c r="O42" s="9"/>
      <c r="Q42" s="8" t="s">
        <v>1</v>
      </c>
      <c r="R42" s="9"/>
      <c r="U42" t="s">
        <v>1</v>
      </c>
      <c r="V42">
        <f>COUNTIF(Tablo5[Özellikler],Tablo5[[#This Row],[Özellikler]])</f>
        <v>40</v>
      </c>
      <c r="Z42" s="1"/>
    </row>
    <row r="43" spans="2:26" x14ac:dyDescent="0.25">
      <c r="B43" s="16"/>
      <c r="C43" s="17"/>
      <c r="E43" s="16"/>
      <c r="F43" s="17"/>
      <c r="H43" s="20"/>
      <c r="I43" s="20"/>
      <c r="J43" s="1"/>
      <c r="K43" s="10"/>
      <c r="L43" s="11"/>
      <c r="N43" s="10"/>
      <c r="O43" s="11"/>
      <c r="Q43" s="10"/>
      <c r="R43" s="11"/>
      <c r="U43" t="s">
        <v>1</v>
      </c>
      <c r="V43">
        <f>COUNTIF(Tablo5[Özellikler],Tablo5[[#This Row],[Özellikler]])</f>
        <v>40</v>
      </c>
      <c r="Z43" s="1"/>
    </row>
    <row r="44" spans="2:26" x14ac:dyDescent="0.25">
      <c r="B44" s="18"/>
      <c r="C44" s="19"/>
      <c r="E44" s="18"/>
      <c r="F44" s="19"/>
      <c r="H44" s="20"/>
      <c r="I44" s="20"/>
      <c r="J44" s="1"/>
      <c r="K44" s="12"/>
      <c r="L44" s="13"/>
      <c r="N44" s="12"/>
      <c r="O44" s="13"/>
      <c r="Q44" s="12"/>
      <c r="R44" s="13"/>
      <c r="U44" t="s">
        <v>1</v>
      </c>
      <c r="V44">
        <f>COUNTIF(Tablo5[Özellikler],Tablo5[[#This Row],[Özellikler]])</f>
        <v>40</v>
      </c>
      <c r="Z44" s="1"/>
    </row>
    <row r="45" spans="2:26" x14ac:dyDescent="0.25">
      <c r="U45" t="s">
        <v>6</v>
      </c>
      <c r="V45">
        <f>COUNTIF(Tablo5[Özellikler],Tablo5[[#This Row],[Özellikler]])</f>
        <v>2</v>
      </c>
    </row>
    <row r="46" spans="2:26" x14ac:dyDescent="0.25">
      <c r="U46" t="s">
        <v>1</v>
      </c>
      <c r="V46">
        <f>COUNTIF(Tablo5[Özellikler],Tablo5[[#This Row],[Özellikler]])</f>
        <v>40</v>
      </c>
    </row>
    <row r="47" spans="2:26" x14ac:dyDescent="0.25">
      <c r="U47" t="s">
        <v>1</v>
      </c>
      <c r="V47">
        <f>COUNTIF(Tablo5[Özellikler],Tablo5[[#This Row],[Özellikler]])</f>
        <v>40</v>
      </c>
    </row>
    <row r="48" spans="2:26" x14ac:dyDescent="0.25">
      <c r="U48" t="s">
        <v>1</v>
      </c>
      <c r="V48">
        <f>COUNTIF(Tablo5[Özellikler],Tablo5[[#This Row],[Özellikler]])</f>
        <v>40</v>
      </c>
    </row>
  </sheetData>
  <mergeCells count="44">
    <mergeCell ref="O1:Q4"/>
    <mergeCell ref="B42:C44"/>
    <mergeCell ref="E42:F44"/>
    <mergeCell ref="B18:C20"/>
    <mergeCell ref="E18:F20"/>
    <mergeCell ref="H18:I20"/>
    <mergeCell ref="B24:C26"/>
    <mergeCell ref="E24:F26"/>
    <mergeCell ref="H24:I26"/>
    <mergeCell ref="B30:C32"/>
    <mergeCell ref="E30:F32"/>
    <mergeCell ref="H30:I32"/>
    <mergeCell ref="B36:C38"/>
    <mergeCell ref="E36:F38"/>
    <mergeCell ref="H36:I38"/>
    <mergeCell ref="H42:I44"/>
    <mergeCell ref="B2:B4"/>
    <mergeCell ref="B6:C8"/>
    <mergeCell ref="E6:F8"/>
    <mergeCell ref="H6:I8"/>
    <mergeCell ref="B12:C14"/>
    <mergeCell ref="E12:F14"/>
    <mergeCell ref="H12:I14"/>
    <mergeCell ref="K6:L8"/>
    <mergeCell ref="N6:O8"/>
    <mergeCell ref="Q6:R8"/>
    <mergeCell ref="K12:L14"/>
    <mergeCell ref="N12:O14"/>
    <mergeCell ref="Q12:R14"/>
    <mergeCell ref="K18:L20"/>
    <mergeCell ref="N18:O20"/>
    <mergeCell ref="Q42:R44"/>
    <mergeCell ref="N42:O44"/>
    <mergeCell ref="K42:L44"/>
    <mergeCell ref="Q36:R38"/>
    <mergeCell ref="N36:O38"/>
    <mergeCell ref="K36:L38"/>
    <mergeCell ref="Q30:R32"/>
    <mergeCell ref="N30:O32"/>
    <mergeCell ref="K30:L32"/>
    <mergeCell ref="Q24:R26"/>
    <mergeCell ref="N24:O26"/>
    <mergeCell ref="K24:L26"/>
    <mergeCell ref="Q18:R20"/>
  </mergeCells>
  <phoneticPr fontId="1" type="noConversion"/>
  <pageMargins left="0.7" right="0.7" top="0.75" bottom="0.75" header="0.3" footer="0.3"/>
  <pageSetup paperSize="9" fitToWidth="0" fitToHeight="0" orientation="landscape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7</vt:i4>
      </vt:variant>
    </vt:vector>
  </HeadingPairs>
  <TitlesOfParts>
    <vt:vector size="12" baseType="lpstr">
      <vt:lpstr>Yazdırma sayfası</vt:lpstr>
      <vt:lpstr>LAB1</vt:lpstr>
      <vt:lpstr>LAB2</vt:lpstr>
      <vt:lpstr>LAB6</vt:lpstr>
      <vt:lpstr>LAB3</vt:lpstr>
      <vt:lpstr>'LAB2'!Yazdırma_Alanı</vt:lpstr>
      <vt:lpstr>'LAB3'!Yazdırma_Alanı</vt:lpstr>
      <vt:lpstr>'LAB6'!Yazdırma_Alanı</vt:lpstr>
      <vt:lpstr>'Yazdırma sayfası'!Yazdırma_Alanı</vt:lpstr>
      <vt:lpstr>'LAB2'!Yazdırma_Başlıkları</vt:lpstr>
      <vt:lpstr>'LAB3'!Yazdırma_Başlıkları</vt:lpstr>
      <vt:lpstr>'LAB6'!Yazdırma_Başlıkları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Kullanıcısı</dc:creator>
  <cp:lastModifiedBy>Osman Sonsuz</cp:lastModifiedBy>
  <cp:lastPrinted>2022-08-01T06:20:40Z</cp:lastPrinted>
  <dcterms:created xsi:type="dcterms:W3CDTF">2022-07-21T09:18:21Z</dcterms:created>
  <dcterms:modified xsi:type="dcterms:W3CDTF">2022-08-01T06:20:47Z</dcterms:modified>
</cp:coreProperties>
</file>